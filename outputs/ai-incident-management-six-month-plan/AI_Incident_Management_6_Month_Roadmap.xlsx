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d6c8ecd12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6434527140ce49f9"/>
    <x:sheet xmlns:r="http://schemas.openxmlformats.org/officeDocument/2006/relationships" name="Admin" sheetId="2" r:id="R9f13d9aa3f4749dc"/>
    <x:sheet xmlns:r="http://schemas.openxmlformats.org/officeDocument/2006/relationships" name="Department Manager" sheetId="3" r:id="R532ccafb7b6a451e"/>
    <x:sheet xmlns:r="http://schemas.openxmlformats.org/officeDocument/2006/relationships" name="Investigator" sheetId="4" r:id="R868cdde503c2434e"/>
    <x:sheet xmlns:r="http://schemas.openxmlformats.org/officeDocument/2006/relationships" name="Action Owner" sheetId="5" r:id="R979b9d40f13c4fc6"/>
    <x:sheet xmlns:r="http://schemas.openxmlformats.org/officeDocument/2006/relationships" name="Staff" sheetId="6" r:id="R1017760e7d80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"/>
  </x:numFmts>
  <x:fonts count="13">
    <x:font>
      <x:sz val="11"/>
      <x:name val="Carlito"/>
    </x:font>
    <x:font>
      <x:b/>
      <x:sz val="16"/>
      <x:color rgb="FF1E2B5E"/>
      <x:name val="Arial"/>
    </x:font>
    <x:font>
      <x:i/>
      <x:sz val="10"/>
      <x:color rgb="FF6B7494"/>
      <x:name val="Arial"/>
    </x:font>
    <x:font>
      <x:b/>
      <x:sz val="10"/>
      <x:color rgb="FFFFFFFF"/>
      <x:name val="Arial"/>
    </x:font>
    <x:font>
      <x:b/>
      <x:sz val="10"/>
      <x:color rgb="FF1A2447"/>
      <x:name val="Arial"/>
    </x:font>
    <x:font>
      <x:sz val="10"/>
      <x:color rgb="FF1A2447"/>
      <x:name val="Arial"/>
    </x:font>
    <x:font>
      <x:b/>
      <x:sz val="11"/>
      <x:color rgb="FF1E2B5E"/>
      <x:name val="Arial"/>
    </x:font>
    <x:font>
      <x:sz val="11"/>
      <x:name val="Arial"/>
    </x:font>
    <x:font>
      <x:b/>
      <x:sz val="15"/>
      <x:color rgb="FF1E2B5E"/>
      <x:name val="Arial"/>
    </x:font>
    <x:font>
      <x:b/>
      <x:sz val="15"/>
      <x:color rgb="FF2952C4"/>
      <x:name val="Arial"/>
    </x:font>
    <x:font>
      <x:b/>
      <x:sz val="15"/>
      <x:color rgb="FF7C3AED"/>
      <x:name val="Arial"/>
    </x:font>
    <x:font>
      <x:b/>
      <x:sz val="15"/>
      <x:color rgb="FFD97706"/>
      <x:name val="Arial"/>
    </x:font>
    <x:font>
      <x:b/>
      <x:sz val="15"/>
      <x:color rgb="FF0F766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E2B5E"/>
      </x:patternFill>
    </x:fill>
    <x:fill>
      <x:patternFill patternType="solid">
        <x:fgColor rgb="FFE8ECF5"/>
      </x:patternFill>
    </x:fill>
    <x:fill>
      <x:patternFill patternType="solid">
        <x:fgColor rgb="FFDCE5F7"/>
      </x:patternFill>
    </x:fill>
    <x:fill>
      <x:patternFill patternType="solid">
        <x:fgColor rgb="FF2952C4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0F766E"/>
      </x:patternFill>
    </x:fill>
  </x:fills>
  <x:borders count="15">
    <x:border/>
    <x:border>
      <x:bottom style="thin">
        <x:color rgb="FFAAB4C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E2B5E"/>
      </x:top>
    </x:border>
    <x:border>
      <x:left style="thin">
        <x:color rgb="FF9FB0D0"/>
      </x:left>
      <x:top style="thin">
        <x:color rgb="FF9FB0D0"/>
      </x:top>
      <x:bottom style="thin">
        <x:color rgb="FF9FB0D0"/>
      </x:bottom>
    </x:border>
    <x:border>
      <x:top style="thin">
        <x:color rgb="FF9FB0D0"/>
      </x:top>
      <x:bottom style="thin">
        <x:color rgb="FF9FB0D0"/>
      </x:bottom>
    </x:border>
    <x:border>
      <x:right style="thin">
        <x:color rgb="FF9FB0D0"/>
      </x:right>
      <x:top style="thin">
        <x:color rgb="FF9FB0D0"/>
      </x:top>
      <x:bottom style="thin">
        <x:color rgb="FF9FB0D0"/>
      </x:bottom>
    </x:border>
    <x:border>
      <x:bottom style="thin">
        <x:color rgb="FFD8DCE8"/>
      </x:bottom>
    </x:border>
    <x:border>
      <x:top style="thin">
        <x:color rgb="FFD8DCE8"/>
      </x:top>
      <x:bottom style="thin">
        <x:color rgb="FFD8DCE8"/>
      </x:bottom>
    </x:border>
    <x:border>
      <x:top style="thin">
        <x:color rgb="FFD8DCE8"/>
      </x:top>
    </x:border>
    <x:border>
      <x:left style="thin">
        <x:color rgb="FFB8C2D8"/>
      </x:left>
      <x:top style="thin">
        <x:color rgb="FFB8C2D8"/>
      </x:top>
      <x:bottom style="thin">
        <x:color rgb="FFB8C2D8"/>
      </x:bottom>
    </x:border>
    <x:border>
      <x:top style="thin">
        <x:color rgb="FFB8C2D8"/>
      </x:top>
      <x:bottom style="thin">
        <x:color rgb="FFB8C2D8"/>
      </x:bottom>
    </x:border>
    <x:border>
      <x:right style="thin">
        <x:color rgb="FFB8C2D8"/>
      </x:right>
      <x:top style="thin">
        <x:color rgb="FFB8C2D8"/>
      </x:top>
      <x:bottom style="thin">
        <x:color rgb="FFB8C2D8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200" fontId="0" fillId="0" borderId="0" xfId="0" applyNumberFormat="1" applyFont="1" applyFill="1" applyBorder="1"/>
    <x:xf numFmtId="200" fontId="4" fillId="3" borderId="5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200" fontId="0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200" fontId="4" fillId="3" borderId="14" xfId="0" applyNumberFormat="1" applyFont="1" applyFill="1" applyBorder="1"/>
    <x:xf numFmtId="0" fontId="4" fillId="3" borderId="12" xfId="0" applyNumberFormat="1" applyFont="1" applyFill="1" applyBorder="1" applyAlignment="1">
      <x:alignment horizontal="center"/>
    </x:xf>
    <x:xf numFmtId="0" fontId="4" fillId="3" borderId="13" xfId="0" applyNumberFormat="1" applyFont="1" applyFill="1" applyBorder="1" applyAlignment="1">
      <x:alignment horizontal="center"/>
    </x:xf>
    <x:xf numFmtId="200" fontId="4" fillId="3" borderId="1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1" fontId="5" fillId="0" borderId="10" xfId="0" applyNumberFormat="1" applyFont="1" applyFill="1" applyBorder="1" applyAlignment="1">
      <x:alignment horizontal="center" vertical="center" wrapText="1"/>
    </x:xf>
    <x:xf numFmtId="201" fontId="5" fillId="0" borderId="11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2" fontId="5" fillId="0" borderId="10" xfId="0" applyNumberFormat="1" applyFont="1" applyFill="1" applyBorder="1" applyAlignment="1">
      <x:alignment horizontal="center" vertical="center" wrapText="1"/>
    </x:xf>
    <x:xf numFmtId="202" fontId="5" fillId="0" borderId="1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0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color rgb="FF8A6400"/>
      </x:font>
      <x:fill>
        <x:patternFill patternType="solid">
          <x:bgColor rgb="FFFFF8D8"/>
        </x:patternFill>
      </x:fill>
    </x:dxf>
    <x:dxf>
      <x:font>
        <x:color rgb="FF157A3D"/>
      </x:font>
      <x:fill>
        <x:patternFill patternType="solid">
          <x:bgColor rgb="FFEAF7EE"/>
        </x:patternFill>
      </x:fill>
    </x:dxf>
    <x:dxf>
      <x:font>
        <x:b/>
        <x:color rgb="FF157A3D"/>
      </x:font>
      <x:fill>
        <x:patternFill patternType="solid">
          <x:bgColor rgb="FFEAF7EE"/>
        </x:patternFill>
      </x:fill>
    </x:dxf>
    <x:dxf>
      <x:font>
        <x:b/>
        <x:color rgb="FF1D4ED8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7C3AED"/>
      </x:font>
      <x:fill>
        <x:patternFill patternType="solid">
          <x:bgColor rgb="FFF3E8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color rgb="FF8A6400"/>
      </x:font>
      <x:fill>
        <x:patternFill patternType="solid">
          <x:bgColor rgb="FFFFF8D8"/>
        </x:patternFill>
      </x:fill>
    </x:dxf>
    <x:dxf>
      <x:font>
        <x:color rgb="FF157A3D"/>
      </x:font>
      <x:fill>
        <x:patternFill patternType="solid">
          <x:bgColor rgb="FFEAF7EE"/>
        </x:patternFill>
      </x:fill>
    </x:dxf>
    <x:dxf>
      <x:font>
        <x:b/>
        <x:color rgb="FF157A3D"/>
      </x:font>
      <x:fill>
        <x:patternFill patternType="solid">
          <x:bgColor rgb="FFEAF7EE"/>
        </x:patternFill>
      </x:fill>
    </x:dxf>
    <x:dxf>
      <x:font>
        <x:b/>
        <x:color rgb="FF1D4ED8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7C3AED"/>
      </x:font>
      <x:fill>
        <x:patternFill patternType="solid">
          <x:bgColor rgb="FFF3E8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color rgb="FF8A6400"/>
      </x:font>
      <x:fill>
        <x:patternFill patternType="solid">
          <x:bgColor rgb="FFFFF8D8"/>
        </x:patternFill>
      </x:fill>
    </x:dxf>
    <x:dxf>
      <x:font>
        <x:color rgb="FF157A3D"/>
      </x:font>
      <x:fill>
        <x:patternFill patternType="solid">
          <x:bgColor rgb="FFEAF7EE"/>
        </x:patternFill>
      </x:fill>
    </x:dxf>
    <x:dxf>
      <x:font>
        <x:b/>
        <x:color rgb="FF157A3D"/>
      </x:font>
      <x:fill>
        <x:patternFill patternType="solid">
          <x:bgColor rgb="FFEAF7EE"/>
        </x:patternFill>
      </x:fill>
    </x:dxf>
    <x:dxf>
      <x:font>
        <x:b/>
        <x:color rgb="FF1D4ED8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7C3AED"/>
      </x:font>
      <x:fill>
        <x:patternFill patternType="solid">
          <x:bgColor rgb="FFF3E8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color rgb="FF8A6400"/>
      </x:font>
      <x:fill>
        <x:patternFill patternType="solid">
          <x:bgColor rgb="FFFFF8D8"/>
        </x:patternFill>
      </x:fill>
    </x:dxf>
    <x:dxf>
      <x:font>
        <x:color rgb="FF157A3D"/>
      </x:font>
      <x:fill>
        <x:patternFill patternType="solid">
          <x:bgColor rgb="FFEAF7EE"/>
        </x:patternFill>
      </x:fill>
    </x:dxf>
    <x:dxf>
      <x:font>
        <x:b/>
        <x:color rgb="FF157A3D"/>
      </x:font>
      <x:fill>
        <x:patternFill patternType="solid">
          <x:bgColor rgb="FFEAF7EE"/>
        </x:patternFill>
      </x:fill>
    </x:dxf>
    <x:dxf>
      <x:font>
        <x:b/>
        <x:color rgb="FF1D4ED8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7C3AED"/>
      </x:font>
      <x:fill>
        <x:patternFill patternType="solid">
          <x:bgColor rgb="FFF3E8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color rgb="FF8A6400"/>
      </x:font>
      <x:fill>
        <x:patternFill patternType="solid">
          <x:bgColor rgb="FFFFF8D8"/>
        </x:patternFill>
      </x:fill>
    </x:dxf>
    <x:dxf>
      <x:font>
        <x:color rgb="FF157A3D"/>
      </x:font>
      <x:fill>
        <x:patternFill patternType="solid">
          <x:bgColor rgb="FFEAF7EE"/>
        </x:patternFill>
      </x:fill>
    </x:dxf>
    <x:dxf>
      <x:font>
        <x:b/>
        <x:color rgb="FF157A3D"/>
      </x:font>
      <x:fill>
        <x:patternFill patternType="solid">
          <x:bgColor rgb="FFEAF7EE"/>
        </x:patternFill>
      </x:fill>
    </x:dxf>
    <x:dxf>
      <x:font>
        <x:b/>
        <x:color rgb="FF1D4ED8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7C3AED"/>
      </x:font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c3ffd5e9f4464" /><Relationship Type="http://schemas.openxmlformats.org/officeDocument/2006/relationships/theme" Target="/xl/theme/theme1.xml" Id="R25fbff0f2ab349f4" /><Relationship Type="http://schemas.openxmlformats.org/officeDocument/2006/relationships/sharedStrings" Target="/xl/sharedStrings.xml" Id="R362838ad77344dc7" /><Relationship Type="http://schemas.openxmlformats.org/officeDocument/2006/relationships/worksheet" Target="/xl/worksheets/sheet1.xml" Id="R6434527140ce49f9" /><Relationship Type="http://schemas.openxmlformats.org/officeDocument/2006/relationships/worksheet" Target="/xl/worksheets/sheet2.xml" Id="R9f13d9aa3f4749dc" /><Relationship Type="http://schemas.openxmlformats.org/officeDocument/2006/relationships/worksheet" Target="/xl/worksheets/sheet3.xml" Id="R532ccafb7b6a451e" /><Relationship Type="http://schemas.openxmlformats.org/officeDocument/2006/relationships/worksheet" Target="/xl/worksheets/sheet4.xml" Id="R868cdde503c2434e" /><Relationship Type="http://schemas.openxmlformats.org/officeDocument/2006/relationships/worksheet" Target="/xl/worksheets/sheet5.xml" Id="R979b9d40f13c4fc6" /><Relationship Type="http://schemas.openxmlformats.org/officeDocument/2006/relationships/worksheet" Target="/xl/worksheets/sheet6.xml" Id="R1017760e7d8046ac" /></Relationships>
</file>

<file path=xl/tables/table1.xml><?xml version="1.0" encoding="utf-8"?>
<x:table xmlns:x="http://schemas.openxmlformats.org/spreadsheetml/2006/main" id="1" name="AdminTasks" displayName="AdminTasks" ref="A4:M26" headerRowCount="1" totalsRowCount="0" totalsRowShown="0">
  <x:autoFilter ref="A4:M26"/>
  <x:tableColumns count="13">
    <x:tableColumn id="1" name="Task"/>
    <x:tableColumn id="2" name="Assigned To"/>
    <x:tableColumn id="3" name="Priority"/>
    <x:tableColumn id="4" name="Start Date"/>
    <x:tableColumn id="5" name="End Date"/>
    <x:tableColumn id="6" name="Time Spent (Hours)"/>
    <x:tableColumn id="7" name="Status"/>
    <x:tableColumn id="8" name="Phase"/>
    <x:tableColumn id="9" name="Change Type"/>
    <x:tableColumn id="10" name="AI Integration"/>
    <x:tableColumn id="11" name="Acceptance Criteria"/>
    <x:tableColumn id="12" name="Dependencies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ManagerTasks" displayName="DepartmentManagerTasks" ref="A4:M32" headerRowCount="1" totalsRowCount="0" totalsRowShown="0">
  <x:autoFilter ref="A4:M32"/>
  <x:tableColumns count="13">
    <x:tableColumn id="1" name="Task"/>
    <x:tableColumn id="2" name="Assigned To"/>
    <x:tableColumn id="3" name="Priority"/>
    <x:tableColumn id="4" name="Start Date"/>
    <x:tableColumn id="5" name="End Date"/>
    <x:tableColumn id="6" name="Time Spent (Hours)"/>
    <x:tableColumn id="7" name="Status"/>
    <x:tableColumn id="8" name="Phase"/>
    <x:tableColumn id="9" name="Change Type"/>
    <x:tableColumn id="10" name="AI Integration"/>
    <x:tableColumn id="11" name="Acceptance Criteria"/>
    <x:tableColumn id="12" name="Dependencies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stigatorTasks" displayName="InvestigatorTasks" ref="A4:M24" headerRowCount="1" totalsRowCount="0" totalsRowShown="0">
  <x:autoFilter ref="A4:M24"/>
  <x:tableColumns count="13">
    <x:tableColumn id="1" name="Task"/>
    <x:tableColumn id="2" name="Assigned To"/>
    <x:tableColumn id="3" name="Priority"/>
    <x:tableColumn id="4" name="Start Date"/>
    <x:tableColumn id="5" name="End Date"/>
    <x:tableColumn id="6" name="Time Spent (Hours)"/>
    <x:tableColumn id="7" name="Status"/>
    <x:tableColumn id="8" name="Phase"/>
    <x:tableColumn id="9" name="Change Type"/>
    <x:tableColumn id="10" name="AI Integration"/>
    <x:tableColumn id="11" name="Acceptance Criteria"/>
    <x:tableColumn id="12" name="Dependencies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OwnerTasks" displayName="ActionOwnerTasks" ref="A4:M24" headerRowCount="1" totalsRowCount="0" totalsRowShown="0">
  <x:autoFilter ref="A4:M24"/>
  <x:tableColumns count="13">
    <x:tableColumn id="1" name="Task"/>
    <x:tableColumn id="2" name="Assigned To"/>
    <x:tableColumn id="3" name="Priority"/>
    <x:tableColumn id="4" name="Start Date"/>
    <x:tableColumn id="5" name="End Date"/>
    <x:tableColumn id="6" name="Time Spent (Hours)"/>
    <x:tableColumn id="7" name="Status"/>
    <x:tableColumn id="8" name="Phase"/>
    <x:tableColumn id="9" name="Change Type"/>
    <x:tableColumn id="10" name="AI Integration"/>
    <x:tableColumn id="11" name="Acceptance Criteria"/>
    <x:tableColumn id="12" name="Dependencies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ffTasks" displayName="StaffTasks" ref="A4:M24" headerRowCount="1" totalsRowCount="0" totalsRowShown="0">
  <x:autoFilter ref="A4:M24"/>
  <x:tableColumns count="13">
    <x:tableColumn id="1" name="Task"/>
    <x:tableColumn id="2" name="Assigned To"/>
    <x:tableColumn id="3" name="Priority"/>
    <x:tableColumn id="4" name="Start Date"/>
    <x:tableColumn id="5" name="End Date"/>
    <x:tableColumn id="6" name="Time Spent (Hours)"/>
    <x:tableColumn id="7" name="Status"/>
    <x:tableColumn id="8" name="Phase"/>
    <x:tableColumn id="9" name="Change Type"/>
    <x:tableColumn id="10" name="AI Integration"/>
    <x:tableColumn id="11" name="Acceptance Criteria"/>
    <x:tableColumn id="12" name="Dependencies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63e7b66fa49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4a2b7a8394d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c9d73b7ab48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bf8bbd2dd4e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240fac0a004692" /></Relationships>
</file>

<file path=xl/worksheets/sheet1.xml><?xml version="1.0" encoding="utf-8"?>
<x:worksheet xmlns:x="http://schemas.openxmlformats.org/spreadsheetml/2006/main">
  <x:sheetPr>
    <x:tabColor rgb="FF1E2B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5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</x:row>
    <x:row r="2" ht="24" customHeight="1">
      <x:c r="A2" s="1" t="str">
        <x:v>AI Incident Management Dashboard - Six-Month Delivery Roadmap</x:v>
      </x:c>
      <x:c r="B2" s="44"/>
      <x:c r="C2" s="44"/>
      <x:c r="D2" s="44"/>
      <x:c r="E2" s="44"/>
      <x:c r="F2" s="44"/>
      <x:c r="G2" s="44"/>
      <x:c r="H2" s="44"/>
    </x:row>
    <x:row r="3" ht="24" customHeight="1">
      <x:c r="A3" s="3" t="str">
        <x:v>Planned period: 2026-10-01 to 2027-03-31 | Editable role-based implementation plan</x:v>
      </x:c>
      <x:c r="B3" s="45"/>
      <x:c r="C3" s="45"/>
      <x:c r="D3" s="45"/>
      <x:c r="E3" s="45"/>
      <x:c r="F3" s="45"/>
      <x:c r="G3" s="45"/>
      <x:c r="H3" s="45"/>
    </x:row>
    <x:row r="4">
      <x:c r="A4" s="44"/>
      <x:c r="B4" s="44"/>
      <x:c r="C4" s="44"/>
      <x:c r="D4" s="44"/>
      <x:c r="E4" s="44"/>
      <x:c r="F4" s="44"/>
      <x:c r="G4" s="44"/>
      <x:c r="H4" s="44"/>
    </x:row>
    <x:row r="5">
      <x:c r="A5" s="13" t="str">
        <x:v>Role</x:v>
      </x:c>
      <x:c r="B5" s="14" t="str">
        <x:v>Total Tasks</x:v>
      </x:c>
      <x:c r="C5" s="14" t="str">
        <x:v>Critical</x:v>
      </x:c>
      <x:c r="D5" s="14" t="str">
        <x:v>High</x:v>
      </x:c>
      <x:c r="E5" s="14" t="str">
        <x:v>Completed</x:v>
      </x:c>
      <x:c r="F5" s="14" t="str">
        <x:v>In Progress</x:v>
      </x:c>
      <x:c r="G5" s="14" t="str">
        <x:v>Blocked</x:v>
      </x:c>
      <x:c r="H5" s="15" t="str">
        <x:v>Completion</x:v>
      </x:c>
    </x:row>
    <x:row r="6">
      <x:c r="A6" s="21" t="str">
        <x:v>Admin</x:v>
      </x:c>
      <x:c r="B6" s="23" t="n">
        <x:f>COUNTA('Admin'!$A$5:$A$200)</x:f>
        <x:v>22</x:v>
      </x:c>
      <x:c r="C6" s="23" t="n">
        <x:f>COUNTIF('Admin'!$C$5:$C$200,"Critical")</x:f>
        <x:v>8</x:v>
      </x:c>
      <x:c r="D6" s="23" t="n">
        <x:f>COUNTIF('Admin'!$C$5:$C$200,"High")</x:f>
        <x:v>11</x:v>
      </x:c>
      <x:c r="E6" s="23" t="n">
        <x:f>COUNTIF('Admin'!$G$5:$G$200,"Completed")</x:f>
        <x:v>0</x:v>
      </x:c>
      <x:c r="F6" s="23" t="n">
        <x:f>COUNTIF('Admin'!$G$5:$G$200,"In Progress")</x:f>
        <x:v>0</x:v>
      </x:c>
      <x:c r="G6" s="23" t="n">
        <x:f>COUNTIF('Admin'!$G$5:$G$200,"Blocked")</x:f>
        <x:v>0</x:v>
      </x:c>
      <x:c r="H6" s="24" t="n">
        <x:f>IF(B6=0,0,E6/B6)</x:f>
        <x:v>0</x:v>
      </x:c>
    </x:row>
    <x:row r="7">
      <x:c r="A7" s="21" t="str">
        <x:v>Department Manager</x:v>
      </x:c>
      <x:c r="B7" s="23" t="n">
        <x:f>COUNTA('Department Manager'!$A$5:$A$200)</x:f>
        <x:v>28</x:v>
      </x:c>
      <x:c r="C7" s="23" t="n">
        <x:f>COUNTIF('Department Manager'!$C$5:$C$200,"Critical")</x:f>
        <x:v>10</x:v>
      </x:c>
      <x:c r="D7" s="23" t="n">
        <x:f>COUNTIF('Department Manager'!$C$5:$C$200,"High")</x:f>
        <x:v>14</x:v>
      </x:c>
      <x:c r="E7" s="23" t="n">
        <x:f>COUNTIF('Department Manager'!$G$5:$G$200,"Completed")</x:f>
        <x:v>0</x:v>
      </x:c>
      <x:c r="F7" s="23" t="n">
        <x:f>COUNTIF('Department Manager'!$G$5:$G$200,"In Progress")</x:f>
        <x:v>0</x:v>
      </x:c>
      <x:c r="G7" s="23" t="n">
        <x:f>COUNTIF('Department Manager'!$G$5:$G$200,"Blocked")</x:f>
        <x:v>0</x:v>
      </x:c>
      <x:c r="H7" s="24" t="n">
        <x:f>IF(B7=0,0,E7/B7)</x:f>
        <x:v>0</x:v>
      </x:c>
    </x:row>
    <x:row r="8">
      <x:c r="A8" s="21" t="str">
        <x:v>Investigator</x:v>
      </x:c>
      <x:c r="B8" s="23" t="n">
        <x:f>COUNTA('Investigator'!$A$5:$A$200)</x:f>
        <x:v>20</x:v>
      </x:c>
      <x:c r="C8" s="23" t="n">
        <x:f>COUNTIF('Investigator'!$C$5:$C$200,"Critical")</x:f>
        <x:v>5</x:v>
      </x:c>
      <x:c r="D8" s="23" t="n">
        <x:f>COUNTIF('Investigator'!$C$5:$C$200,"High")</x:f>
        <x:v>10</x:v>
      </x:c>
      <x:c r="E8" s="23" t="n">
        <x:f>COUNTIF('Investigator'!$G$5:$G$200,"Completed")</x:f>
        <x:v>0</x:v>
      </x:c>
      <x:c r="F8" s="23" t="n">
        <x:f>COUNTIF('Investigator'!$G$5:$G$200,"In Progress")</x:f>
        <x:v>0</x:v>
      </x:c>
      <x:c r="G8" s="23" t="n">
        <x:f>COUNTIF('Investigator'!$G$5:$G$200,"Blocked")</x:f>
        <x:v>0</x:v>
      </x:c>
      <x:c r="H8" s="24" t="n">
        <x:f>IF(B8=0,0,E8/B8)</x:f>
        <x:v>0</x:v>
      </x:c>
    </x:row>
    <x:row r="9">
      <x:c r="A9" s="21" t="str">
        <x:v>Action Owner</x:v>
      </x:c>
      <x:c r="B9" s="23" t="n">
        <x:f>COUNTA('Action Owner'!$A$5:$A$200)</x:f>
        <x:v>20</x:v>
      </x:c>
      <x:c r="C9" s="23" t="n">
        <x:f>COUNTIF('Action Owner'!$C$5:$C$200,"Critical")</x:f>
        <x:v>6</x:v>
      </x:c>
      <x:c r="D9" s="23" t="n">
        <x:f>COUNTIF('Action Owner'!$C$5:$C$200,"High")</x:f>
        <x:v>10</x:v>
      </x:c>
      <x:c r="E9" s="23" t="n">
        <x:f>COUNTIF('Action Owner'!$G$5:$G$200,"Completed")</x:f>
        <x:v>0</x:v>
      </x:c>
      <x:c r="F9" s="23" t="n">
        <x:f>COUNTIF('Action Owner'!$G$5:$G$200,"In Progress")</x:f>
        <x:v>0</x:v>
      </x:c>
      <x:c r="G9" s="23" t="n">
        <x:f>COUNTIF('Action Owner'!$G$5:$G$200,"Blocked")</x:f>
        <x:v>0</x:v>
      </x:c>
      <x:c r="H9" s="24" t="n">
        <x:f>IF(B9=0,0,E9/B9)</x:f>
        <x:v>0</x:v>
      </x:c>
    </x:row>
    <x:row r="10">
      <x:c r="A10" s="21" t="str">
        <x:v>Staff</x:v>
      </x:c>
      <x:c r="B10" s="23" t="n">
        <x:f>COUNTA('Staff'!$A$5:$A$200)</x:f>
        <x:v>20</x:v>
      </x:c>
      <x:c r="C10" s="23" t="n">
        <x:f>COUNTIF('Staff'!$C$5:$C$200,"Critical")</x:f>
        <x:v>5</x:v>
      </x:c>
      <x:c r="D10" s="23" t="n">
        <x:f>COUNTIF('Staff'!$C$5:$C$200,"High")</x:f>
        <x:v>9</x:v>
      </x:c>
      <x:c r="E10" s="23" t="n">
        <x:f>COUNTIF('Staff'!$G$5:$G$200,"Completed")</x:f>
        <x:v>0</x:v>
      </x:c>
      <x:c r="F10" s="23" t="n">
        <x:f>COUNTIF('Staff'!$G$5:$G$200,"In Progress")</x:f>
        <x:v>0</x:v>
      </x:c>
      <x:c r="G10" s="23" t="n">
        <x:f>COUNTIF('Staff'!$G$5:$G$200,"Blocked")</x:f>
        <x:v>0</x:v>
      </x:c>
      <x:c r="H10" s="24" t="n">
        <x:f>IF(B10=0,0,E10/B10)</x:f>
        <x:v>0</x:v>
      </x:c>
    </x:row>
    <x:row r="11">
      <x:c r="A11" s="18" t="str">
        <x:v>Overall</x:v>
      </x:c>
      <x:c r="B11" s="25" t="n">
        <x:f>SUM(B6:B10)</x:f>
        <x:v>110</x:v>
      </x:c>
      <x:c r="C11" s="25" t="n">
        <x:f>SUM(C6:C10)</x:f>
        <x:v>34</x:v>
      </x:c>
      <x:c r="D11" s="25" t="n">
        <x:f>SUM(D6:D10)</x:f>
        <x:v>54</x:v>
      </x:c>
      <x:c r="E11" s="25" t="n">
        <x:f>SUM(E6:E10)</x:f>
        <x:v>0</x:v>
      </x:c>
      <x:c r="F11" s="25" t="n">
        <x:f>SUM(F6:F10)</x:f>
        <x:v>0</x:v>
      </x:c>
      <x:c r="G11" s="25" t="n">
        <x:f>SUM(G6:G10)</x:f>
        <x:v>0</x:v>
      </x:c>
      <x:c r="H11" s="26" t="n">
        <x:f>IF(B11=0,0,E11/B11)</x:f>
        <x:v>0</x:v>
      </x:c>
    </x:row>
    <x:row r="12">
      <x:c r="A12" s="44"/>
      <x:c r="B12" s="44"/>
      <x:c r="C12" s="44"/>
      <x:c r="D12" s="44"/>
      <x:c r="E12" s="44"/>
      <x:c r="F12" s="44"/>
      <x:c r="G12" s="44"/>
      <x:c r="H12" s="44"/>
    </x:row>
    <x:row r="13">
      <x:c r="A13" s="44"/>
      <x:c r="B13" s="44"/>
      <x:c r="C13" s="44"/>
      <x:c r="D13" s="44"/>
      <x:c r="E13" s="44"/>
      <x:c r="F13" s="44"/>
      <x:c r="G13" s="44"/>
      <x:c r="H13" s="44"/>
    </x:row>
    <x:row r="14">
      <x:c r="A14" s="29" t="str">
        <x:v>Delivery Milestones</x:v>
      </x:c>
      <x:c r="B14" s="30"/>
      <x:c r="C14" s="30"/>
      <x:c r="D14" s="31"/>
      <x:c r="E14" s="44"/>
      <x:c r="F14" s="44"/>
      <x:c r="G14" s="44"/>
      <x:c r="H14" s="44"/>
    </x:row>
    <x:row r="15">
      <x:c r="A15" s="34" t="str">
        <x:v>Month</x:v>
      </x:c>
      <x:c r="B15" s="34" t="str">
        <x:v>Period</x:v>
      </x:c>
      <x:c r="C15" s="34" t="str">
        <x:v>Primary Outcome</x:v>
      </x:c>
      <x:c r="D15" s="34" t="str">
        <x:v>Exit Criteria</x:v>
      </x:c>
      <x:c r="E15" s="44"/>
      <x:c r="F15" s="44"/>
      <x:c r="G15" s="44"/>
      <x:c r="H15" s="44"/>
    </x:row>
    <x:row r="16" ht="38" customHeight="1">
      <x:c r="A16" s="41" t="str">
        <x:v>Month 1</x:v>
      </x:c>
      <x:c r="B16" s="41" t="str">
        <x:v>Oct 2026</x:v>
      </x:c>
      <x:c r="C16" s="41" t="str">
        <x:v>Security, RBAC, department scope, role access</x:v>
      </x:c>
      <x:c r="D16" s="41" t="str">
        <x:v>Cross-role and cross-department authorization tests pass</x:v>
      </x:c>
      <x:c r="E16" s="44"/>
      <x:c r="F16" s="44"/>
      <x:c r="G16" s="44"/>
      <x:c r="H16" s="44"/>
    </x:row>
    <x:row r="17" ht="38" customHeight="1">
      <x:c r="A17" s="42" t="str">
        <x:v>Month 2</x:v>
      </x:c>
      <x:c r="B17" s="42" t="str">
        <x:v>Nov 2026</x:v>
      </x:c>
      <x:c r="C17" s="42" t="str">
        <x:v>Core Details, Investigation, and Actions data structures</x:v>
      </x:c>
      <x:c r="D17" s="42" t="str">
        <x:v>Structured records persist and workflow assignment is enforced</x:v>
      </x:c>
      <x:c r="E17" s="44"/>
      <x:c r="F17" s="44"/>
      <x:c r="G17" s="44"/>
      <x:c r="H17" s="44"/>
    </x:row>
    <x:row r="18" ht="38" customHeight="1">
      <x:c r="A18" s="42" t="str">
        <x:v>Month 3</x:v>
      </x:c>
      <x:c r="B18" s="42" t="str">
        <x:v>Dec 2026</x:v>
      </x:c>
      <x:c r="C18" s="42" t="str">
        <x:v>Controls, Review, Closure, audit, and revision workflow</x:v>
      </x:c>
      <x:c r="D18" s="42" t="str">
        <x:v>No lifecycle stage can be bypassed</x:v>
      </x:c>
      <x:c r="E18" s="44"/>
      <x:c r="F18" s="44"/>
      <x:c r="G18" s="44"/>
      <x:c r="H18" s="44"/>
    </x:row>
    <x:row r="19" ht="38" customHeight="1">
      <x:c r="A19" s="42" t="str">
        <x:v>Month 4</x:v>
      </x:c>
      <x:c r="B19" s="42" t="str">
        <x:v>Jan 2027</x:v>
      </x:c>
      <x:c r="C19" s="42" t="str">
        <x:v>Operational analytics and clean AI-ready dataset</x:v>
      </x:c>
      <x:c r="D19" s="42" t="str">
        <x:v>Live non-AI widgets reconcile with incident records</x:v>
      </x:c>
      <x:c r="E19" s="44"/>
      <x:c r="F19" s="44"/>
      <x:c r="G19" s="44"/>
      <x:c r="H19" s="44"/>
    </x:row>
    <x:row r="20" ht="38" customHeight="1">
      <x:c r="A20" s="42" t="str">
        <x:v>Month 5</x:v>
      </x:c>
      <x:c r="B20" s="42" t="str">
        <x:v>Feb 2027</x:v>
      </x:c>
      <x:c r="C20" s="42" t="str">
        <x:v>Role-specific AI features and governance</x:v>
      </x:c>
      <x:c r="D20" s="42" t="str">
        <x:v>AI results are explainable, permission-scoped, and optional</x:v>
      </x:c>
      <x:c r="E20" s="44"/>
      <x:c r="F20" s="44"/>
      <x:c r="G20" s="44"/>
      <x:c r="H20" s="44"/>
    </x:row>
    <x:row r="21" ht="38" customHeight="1">
      <x:c r="A21" s="43" t="str">
        <x:v>Month 6</x:v>
      </x:c>
      <x:c r="B21" s="43" t="str">
        <x:v>Mar 2027</x:v>
      </x:c>
      <x:c r="C21" s="43" t="str">
        <x:v>Testing, UAT, performance, deployment, and handover</x:v>
      </x:c>
      <x:c r="D21" s="43" t="str">
        <x:v>Stakeholders approve the system and deployment checks pass</x:v>
      </x:c>
      <x:c r="E21" s="44"/>
      <x:c r="F21" s="44"/>
      <x:c r="G21" s="44"/>
      <x:c r="H21" s="44"/>
    </x:row>
    <x:row r="22">
      <x:c r="A22" s="44"/>
      <x:c r="B22" s="44"/>
      <x:c r="C22" s="44"/>
      <x:c r="D22" s="44"/>
      <x:c r="E22" s="44"/>
      <x:c r="F22" s="44"/>
      <x:c r="G22" s="44"/>
      <x:c r="H22" s="44"/>
    </x:row>
    <x:row r="23">
      <x:c r="A23" s="44"/>
      <x:c r="B23" s="44"/>
      <x:c r="C23" s="44"/>
      <x:c r="D23" s="44"/>
      <x:c r="E23" s="44"/>
      <x:c r="F23" s="44"/>
      <x:c r="G23" s="44"/>
      <x:c r="H23" s="44"/>
    </x:row>
    <x:row r="24">
      <x:c r="A24" s="29" t="str">
        <x:v>Role-Specific AI Scope</x:v>
      </x:c>
      <x:c r="B24" s="30"/>
      <x:c r="C24" s="31"/>
      <x:c r="D24" s="44"/>
      <x:c r="E24" s="44"/>
      <x:c r="F24" s="44"/>
      <x:c r="G24" s="44"/>
      <x:c r="H24" s="44"/>
    </x:row>
    <x:row r="25">
      <x:c r="A25" s="34" t="str">
        <x:v>Role</x:v>
      </x:c>
      <x:c r="B25" s="34" t="str">
        <x:v>AI Capabilities</x:v>
      </x:c>
      <x:c r="C25" s="34" t="str">
        <x:v>Human Control</x:v>
      </x:c>
      <x:c r="D25" s="44"/>
      <x:c r="E25" s="44"/>
      <x:c r="F25" s="44"/>
      <x:c r="G25" s="44"/>
      <x:c r="H25" s="44"/>
    </x:row>
    <x:row r="26" ht="48" customHeight="1">
      <x:c r="A26" s="41" t="str">
        <x:v>Admin</x:v>
      </x:c>
      <x:c r="B26" s="41" t="str">
        <x:v>Data-quality monitoring, model registry, drift monitoring, retraining governance, enterprise risk</x:v>
      </x:c>
      <x:c r="C26" s="41" t="str">
        <x:v>Approves model deployment and rollback</x:v>
      </x:c>
      <x:c r="D26" s="44"/>
      <x:c r="E26" s="44"/>
      <x:c r="F26" s="44"/>
      <x:c r="G26" s="44"/>
      <x:c r="H26" s="44"/>
    </x:row>
    <x:row r="27" ht="48" customHeight="1">
      <x:c r="A27" s="42" t="str">
        <x:v>Department Manager</x:v>
      </x:c>
      <x:c r="B27" s="42" t="str">
        <x:v>Predictive risk, trend anomalies, ageing, overdue actions, severity accuracy, recommendations</x:v>
      </x:c>
      <x:c r="C27" s="42" t="str">
        <x:v>Reviews explanations and may override recommendations</x:v>
      </x:c>
      <x:c r="D27" s="44"/>
      <x:c r="E27" s="44"/>
      <x:c r="F27" s="44"/>
      <x:c r="G27" s="44"/>
      <x:c r="H27" s="44"/>
    </x:row>
    <x:row r="28" ht="48" customHeight="1">
      <x:c r="A28" s="42" t="str">
        <x:v>Investigator</x:v>
      </x:c>
      <x:c r="B28" s="42" t="str">
        <x:v>Similar incidents, root-cause similarity, clustering, evidence summaries, method suggestions</x:v>
      </x:c>
      <x:c r="C28" s="42" t="str">
        <x:v>Confirms, edits, or dismisses all AI outputs</x:v>
      </x:c>
      <x:c r="D28" s="44"/>
      <x:c r="E28" s="44"/>
      <x:c r="F28" s="44"/>
      <x:c r="G28" s="44"/>
      <x:c r="H28" s="44"/>
    </x:row>
    <x:row r="29" ht="48" customHeight="1">
      <x:c r="A29" s="42" t="str">
        <x:v>Action Owner</x:v>
      </x:c>
      <x:c r="B29" s="42" t="str">
        <x:v>Similar actions, effective-action recommendations, due-date risk, effectiveness scoring</x:v>
      </x:c>
      <x:c r="C29" s="42" t="str">
        <x:v>Chooses actions and provides outcome evidence</x:v>
      </x:c>
      <x:c r="D29" s="44"/>
      <x:c r="E29" s="44"/>
      <x:c r="F29" s="44"/>
      <x:c r="G29" s="44"/>
      <x:c r="H29" s="44"/>
    </x:row>
    <x:row r="30" ht="48" customHeight="1">
      <x:c r="A30" s="43" t="str">
        <x:v>Staff</x:v>
      </x:c>
      <x:c r="B30" s="43" t="str">
        <x:v>Category and severity suggestions, duplicate warning, completeness assistant, editable summary</x:v>
      </x:c>
      <x:c r="C30" s="43" t="str">
        <x:v>Confirms or corrects every suggestion before submission</x:v>
      </x:c>
      <x:c r="D30" s="44"/>
      <x:c r="E30" s="44"/>
      <x:c r="F30" s="44"/>
      <x:c r="G30" s="44"/>
      <x:c r="H30" s="44"/>
    </x:row>
    <x:row r="31">
      <x:c r="A31" s="44"/>
      <x:c r="B31" s="44"/>
      <x:c r="C31" s="44"/>
      <x:c r="D31" s="44"/>
      <x:c r="E31" s="44"/>
      <x:c r="F31" s="44"/>
      <x:c r="G31" s="44"/>
      <x:c r="H31" s="44"/>
    </x:row>
    <x:row r="32">
      <x:c r="A32" s="44"/>
      <x:c r="B32" s="44"/>
      <x:c r="C32" s="44"/>
      <x:c r="D32" s="44"/>
      <x:c r="E32" s="44"/>
      <x:c r="F32" s="44"/>
      <x:c r="G32" s="44"/>
      <x:c r="H32" s="44"/>
    </x:row>
    <x:row r="33">
      <x:c r="A33" s="6" t="str">
        <x:v>Planning Basis</x:v>
      </x:c>
      <x:c r="B33" s="6" t="str">
        <x:v>Sources Reviewed</x:v>
      </x:c>
      <x:c r="C33" s="44"/>
      <x:c r="D33" s="44"/>
      <x:c r="E33" s="44"/>
      <x:c r="F33" s="44"/>
      <x:c r="G33" s="44"/>
      <x:c r="H33" s="44"/>
    </x:row>
    <x:row r="34" ht="36" customHeight="1">
      <x:c r="A34" s="41" t="str">
        <x:v>Mentor project briefing</x:v>
      </x:c>
      <x:c r="B34" s="41" t="str">
        <x:v>AI-Powered Incident Management Dashboard Project Briefing, Version 1.0, May 2026</x:v>
      </x:c>
      <x:c r="C34" s="44"/>
      <x:c r="D34" s="44"/>
      <x:c r="E34" s="44"/>
      <x:c r="F34" s="44"/>
      <x:c r="G34" s="44"/>
      <x:c r="H34" s="44"/>
    </x:row>
    <x:row r="35" ht="36" customHeight="1">
      <x:c r="A35" s="42" t="str">
        <x:v>Mentor workflow</x:v>
      </x:c>
      <x:c r="B35" s="42" t="str">
        <x:v>Admin, Department Manager, Investigator, Action Owner, Staff, and the specified incident lifecycle</x:v>
      </x:c>
      <x:c r="C35" s="44"/>
      <x:c r="D35" s="44"/>
      <x:c r="E35" s="44"/>
      <x:c r="F35" s="44"/>
      <x:c r="G35" s="44"/>
      <x:c r="H35" s="44"/>
    </x:row>
    <x:row r="36" ht="36" customHeight="1">
      <x:c r="A36" s="43" t="str">
        <x:v>Current implementation</x:v>
      </x:c>
      <x:c r="B36" s="43" t="str">
        <x:v>KAIROS-HIMS repository review: Prisma schema, Express APIs, React routes, role dashboards, analytics, and tests</x:v>
      </x:c>
      <x:c r="C36" s="44"/>
      <x:c r="D36" s="44"/>
      <x:c r="E36" s="44"/>
      <x:c r="F36" s="44"/>
      <x:c r="G36" s="44"/>
      <x:c r="H36" s="44"/>
    </x:row>
    <x:row r="37">
      <x:c r="A37" s="44"/>
      <x:c r="B37" s="44"/>
      <x:c r="C37" s="44"/>
      <x:c r="D37" s="44"/>
      <x:c r="E37" s="44"/>
      <x:c r="F37" s="44"/>
      <x:c r="G37" s="44"/>
      <x:c r="H37" s="44"/>
    </x:row>
    <x:row r="38">
      <x:c r="A38" s="44"/>
      <x:c r="B38" s="44"/>
      <x:c r="C38" s="44"/>
      <x:c r="D38" s="44"/>
      <x:c r="E38" s="44"/>
      <x:c r="F38" s="44"/>
      <x:c r="G38" s="44"/>
      <x:c r="H38" s="44"/>
    </x:row>
    <x:row r="39">
      <x:c r="A39" s="44"/>
      <x:c r="B39" s="44"/>
      <x:c r="C39" s="44"/>
      <x:c r="D39" s="44"/>
      <x:c r="E39" s="44"/>
      <x:c r="F39" s="44"/>
      <x:c r="G39" s="44"/>
      <x:c r="H39" s="44"/>
    </x:row>
    <x:row r="40">
      <x:c r="A40" s="44"/>
      <x:c r="B40" s="44"/>
      <x:c r="C40" s="44"/>
      <x:c r="D40" s="44"/>
      <x:c r="E40" s="44"/>
      <x:c r="F40" s="44"/>
      <x:c r="G40" s="44"/>
      <x:c r="H40" s="44"/>
    </x:row>
  </x:sheetData>
  <x:mergeCells>
    <x:mergeCell ref="A2:H2"/>
    <x:mergeCell ref="A3:H3"/>
    <x:mergeCell ref="A14:D14"/>
    <x:mergeCell ref="A24:C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2B5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25" hidden="0" customWidth="1"/>
    <x:col min="9" max="9" width="24" hidden="0" customWidth="1"/>
    <x:col min="10" max="10" width="46" hidden="0" customWidth="1"/>
    <x:col min="11" max="11" width="58" hidden="0" customWidth="1"/>
    <x:col min="12" max="12" width="34" hidden="0" customWidth="1"/>
    <x:col min="13" max="13" width="28" hidden="0" customWidth="1"/>
  </x:cols>
  <x:sheetData>
    <x:row r="2">
      <x:c r="A2" s="46" t="str">
        <x:v>Admin Delivery Plan</x:v>
      </x:c>
    </x:row>
    <x:row r="3">
      <x:c r="A3" s="52" t="str">
        <x:v>Tasks</x:v>
      </x:c>
      <x:c r="B3" s="53" t="n">
        <x:f>COUNTA(A5:A200)</x:f>
        <x:v>22</x:v>
      </x:c>
      <x:c r="C3" s="53" t="str">
        <x:v>Completed</x:v>
      </x:c>
      <x:c r="D3" s="53" t="n">
        <x:f>COUNTIF(G5:G200,"Completed")</x:f>
        <x:v>0</x:v>
      </x:c>
      <x:c r="E3" s="53" t="str">
        <x:v>Progress</x:v>
      </x:c>
      <x:c r="F3" s="54" t="n">
        <x:f>IF(B3=0,0,D3/B3)</x:f>
        <x:v>0</x:v>
      </x:c>
    </x:row>
    <x:row r="4" ht="34" customHeight="1">
      <x:c r="A4" s="61" t="str">
        <x:v>Task</x:v>
      </x:c>
      <x:c r="B4" s="62" t="str">
        <x:v>Assigned To</x:v>
      </x:c>
      <x:c r="C4" s="62" t="str">
        <x:v>Priority</x:v>
      </x:c>
      <x:c r="D4" s="62" t="str">
        <x:v>Start Date</x:v>
      </x:c>
      <x:c r="E4" s="62" t="str">
        <x:v>End Date</x:v>
      </x:c>
      <x:c r="F4" s="62" t="str">
        <x:v>Time Spent (Hours)</x:v>
      </x:c>
      <x:c r="G4" s="62" t="str">
        <x:v>Status</x:v>
      </x:c>
      <x:c r="H4" s="62" t="str">
        <x:v>Phase</x:v>
      </x:c>
      <x:c r="I4" s="62" t="str">
        <x:v>Change Type</x:v>
      </x:c>
      <x:c r="J4" s="62" t="str">
        <x:v>AI Integration</x:v>
      </x:c>
      <x:c r="K4" s="62" t="str">
        <x:v>Acceptance Criteria</x:v>
      </x:c>
      <x:c r="L4" s="62" t="str">
        <x:v>Dependencies</x:v>
      </x:c>
      <x:c r="M4" s="63" t="str">
        <x:v>Notes</x:v>
      </x:c>
    </x:row>
    <x:row r="5" ht="54" customHeight="1">
      <x:c r="A5" s="41" t="str">
        <x:v>Finalize the role and permission matrix for all five system roles</x:v>
      </x:c>
      <x:c r="B5" s="67" t="str">
        <x:v>Kasun</x:v>
      </x:c>
      <x:c r="C5" s="67" t="str">
        <x:v>Critical</x:v>
      </x:c>
      <x:c r="D5" s="70" t="n">
        <x:v>46296</x:v>
      </x:c>
      <x:c r="E5" s="70" t="n">
        <x:v>46302</x:v>
      </x:c>
      <x:c r="F5" s="73"/>
      <x:c r="G5" s="67" t="str">
        <x:v>Not Started</x:v>
      </x:c>
      <x:c r="H5" s="67" t="str">
        <x:v>Month 1 - Foundation</x:v>
      </x:c>
      <x:c r="I5" s="67" t="str">
        <x:v>Research and Design</x:v>
      </x:c>
      <x:c r="J5" s="41" t="str">
        <x:v>Defines secure access boundaries for every AI feature</x:v>
      </x:c>
      <x:c r="K5" s="41" t="str">
        <x:v>The approved matrix covers create, read, update, workflow, analytics, and AI permissions for each role.</x:v>
      </x:c>
      <x:c r="L5" s="41" t="str">
        <x:v>None</x:v>
      </x:c>
      <x:c r="M5" s="41" t="str"/>
    </x:row>
    <x:row r="6" ht="54" customHeight="1">
      <x:c r="A6" s="42" t="str">
        <x:v>Replace free-text user roles with a validated Role enum</x:v>
      </x:c>
      <x:c r="B6" s="68" t="str">
        <x:v>Kithsara</x:v>
      </x:c>
      <x:c r="C6" s="68" t="str">
        <x:v>Critical</x:v>
      </x:c>
      <x:c r="D6" s="71" t="n">
        <x:v>46300</x:v>
      </x:c>
      <x:c r="E6" s="71" t="n">
        <x:v>46307</x:v>
      </x:c>
      <x:c r="F6" s="74"/>
      <x:c r="G6" s="68" t="str">
        <x:v>Not Started</x:v>
      </x:c>
      <x:c r="H6" s="68" t="str">
        <x:v>Month 1 - Foundation</x:v>
      </x:c>
      <x:c r="I6" s="68" t="str">
        <x:v>Modify Existing</x:v>
      </x:c>
      <x:c r="J6" s="42" t="str">
        <x:v>Prevents unauthorized access to AI insights and model controls</x:v>
      </x:c>
      <x:c r="K6" s="42" t="str">
        <x:v>The database, API validation, seed data, and frontend types use ADMIN, MANAGER, INVESTIGATOR, ACTION_OWNER, and STAFF.</x:v>
      </x:c>
      <x:c r="L6" s="42" t="str">
        <x:v>None</x:v>
      </x:c>
      <x:c r="M6" s="42" t="str"/>
    </x:row>
    <x:row r="7" ht="54" customHeight="1">
      <x:c r="A7" s="42" t="str">
        <x:v>Add Admin access to protected frontend routes and navigation</x:v>
      </x:c>
      <x:c r="B7" s="68" t="str">
        <x:v>Chandupa</x:v>
      </x:c>
      <x:c r="C7" s="68" t="str">
        <x:v>Critical</x:v>
      </x:c>
      <x:c r="D7" s="71" t="n">
        <x:v>46303</x:v>
      </x:c>
      <x:c r="E7" s="71" t="n">
        <x:v>46311</x:v>
      </x:c>
      <x:c r="F7" s="74"/>
      <x:c r="G7" s="68" t="str">
        <x:v>Not Started</x:v>
      </x:c>
      <x:c r="H7" s="68" t="str">
        <x:v>Month 1 - Foundation</x:v>
      </x:c>
      <x:c r="I7" s="68" t="str">
        <x:v>Bug Fix</x:v>
      </x:c>
      <x:c r="J7" s="42" t="str">
        <x:v>Provides access to the Admin AI governance dashboard</x:v>
      </x:c>
      <x:c r="K7" s="42" t="str">
        <x:v>An ADMIN user can sign in and reach the Admin workspace without redirection or permission errors.</x:v>
      </x:c>
      <x:c r="L7" s="42" t="str">
        <x:v>Role enum task</x:v>
      </x:c>
      <x:c r="M7" s="42" t="str"/>
    </x:row>
    <x:row r="8" ht="54" customHeight="1">
      <x:c r="A8" s="42" t="str">
        <x:v>Implement Admin authorization override across protected APIs</x:v>
      </x:c>
      <x:c r="B8" s="68" t="str">
        <x:v>Kasun</x:v>
      </x:c>
      <x:c r="C8" s="68" t="str">
        <x:v>Critical</x:v>
      </x:c>
      <x:c r="D8" s="71" t="n">
        <x:v>46307</x:v>
      </x:c>
      <x:c r="E8" s="71" t="n">
        <x:v>46318</x:v>
      </x:c>
      <x:c r="F8" s="74"/>
      <x:c r="G8" s="68" t="str">
        <x:v>Not Started</x:v>
      </x:c>
      <x:c r="H8" s="68" t="str">
        <x:v>Month 1 - Foundation</x:v>
      </x:c>
      <x:c r="I8" s="68" t="str">
        <x:v>New Feature</x:v>
      </x:c>
      <x:c r="J8" s="42" t="str">
        <x:v>Allows authorized cross-department AI oversight</x:v>
      </x:c>
      <x:c r="K8" s="42" t="str">
        <x:v>Admin can perform permitted operations across all departments while every action is audited.</x:v>
      </x:c>
      <x:c r="L8" s="42" t="str">
        <x:v>Role and permission matrix</x:v>
      </x:c>
      <x:c r="M8" s="42" t="str"/>
    </x:row>
    <x:row r="9" ht="54" customHeight="1">
      <x:c r="A9" s="42" t="str">
        <x:v>Build the cross-department incident oversight dashboard</x:v>
      </x:c>
      <x:c r="B9" s="68" t="str">
        <x:v>Chandupa</x:v>
      </x:c>
      <x:c r="C9" s="68" t="str">
        <x:v>High</x:v>
      </x:c>
      <x:c r="D9" s="71" t="n">
        <x:v>46314</x:v>
      </x:c>
      <x:c r="E9" s="71" t="n">
        <x:v>46332</x:v>
      </x:c>
      <x:c r="F9" s="74"/>
      <x:c r="G9" s="68" t="str">
        <x:v>Not Started</x:v>
      </x:c>
      <x:c r="H9" s="68" t="str">
        <x:v>Months 1-2 - Core Platform</x:v>
      </x:c>
      <x:c r="I9" s="68" t="str">
        <x:v>New Feature</x:v>
      </x:c>
      <x:c r="J9" s="42" t="str">
        <x:v>Displays enterprise risk trends and AI alerts by department</x:v>
      </x:c>
      <x:c r="K9" s="42" t="str">
        <x:v>Admin can filter incidents by department, severity, status, category, and date and open a permitted record.</x:v>
      </x:c>
      <x:c r="L9" s="42" t="str">
        <x:v>Admin API authorization</x:v>
      </x:c>
      <x:c r="M9" s="42" t="str"/>
    </x:row>
    <x:row r="10" ht="54" customHeight="1">
      <x:c r="A10" s="42" t="str">
        <x:v>Implement department management for create, update, deactivate, and view</x:v>
      </x:c>
      <x:c r="B10" s="68" t="str">
        <x:v>Kithsara</x:v>
      </x:c>
      <x:c r="C10" s="68" t="str">
        <x:v>High</x:v>
      </x:c>
      <x:c r="D10" s="71" t="n">
        <x:v>46328</x:v>
      </x:c>
      <x:c r="E10" s="71" t="n">
        <x:v>46339</x:v>
      </x:c>
      <x:c r="F10" s="74"/>
      <x:c r="G10" s="68" t="str">
        <x:v>Not Started</x:v>
      </x:c>
      <x:c r="H10" s="68" t="str">
        <x:v>Month 2 - Core Platform</x:v>
      </x:c>
      <x:c r="I10" s="68" t="str">
        <x:v>New Feature</x:v>
      </x:c>
      <x:c r="J10" s="42" t="str">
        <x:v>Maintains clean department metadata for analytics models</x:v>
      </x:c>
      <x:c r="K10" s="42" t="str">
        <x:v>Admin can manage departments without deleting historical incident relationships.</x:v>
      </x:c>
      <x:c r="L10" s="42" t="str">
        <x:v>None</x:v>
      </x:c>
      <x:c r="M10" s="42" t="str"/>
    </x:row>
    <x:row r="11" ht="54" customHeight="1">
      <x:c r="A11" s="42" t="str">
        <x:v>Implement user management for create, update, deactivate, and role assignment</x:v>
      </x:c>
      <x:c r="B11" s="68" t="str">
        <x:v>Kasun</x:v>
      </x:c>
      <x:c r="C11" s="68" t="str">
        <x:v>High</x:v>
      </x:c>
      <x:c r="D11" s="71" t="n">
        <x:v>46335</x:v>
      </x:c>
      <x:c r="E11" s="71" t="n">
        <x:v>46346</x:v>
      </x:c>
      <x:c r="F11" s="74"/>
      <x:c r="G11" s="68" t="str">
        <x:v>Not Started</x:v>
      </x:c>
      <x:c r="H11" s="68" t="str">
        <x:v>Month 2 - Core Platform</x:v>
      </x:c>
      <x:c r="I11" s="68" t="str">
        <x:v>Modify Existing</x:v>
      </x:c>
      <x:c r="J11" s="42" t="str">
        <x:v>Controls which users can access role-specific AI features</x:v>
      </x:c>
      <x:c r="K11" s="42" t="str">
        <x:v>Admin can manage user status, department, and role with validation and audit history.</x:v>
      </x:c>
      <x:c r="L11" s="42" t="str">
        <x:v>None</x:v>
      </x:c>
      <x:c r="M11" s="42" t="str"/>
    </x:row>
    <x:row r="12" ht="54" customHeight="1">
      <x:c r="A12" s="42" t="str">
        <x:v>Add controlled Admin incident correction with mandatory reason</x:v>
      </x:c>
      <x:c r="B12" s="68" t="str">
        <x:v>Kithsara</x:v>
      </x:c>
      <x:c r="C12" s="68" t="str">
        <x:v>High</x:v>
      </x:c>
      <x:c r="D12" s="71" t="n">
        <x:v>46342</x:v>
      </x:c>
      <x:c r="E12" s="71" t="n">
        <x:v>46353</x:v>
      </x:c>
      <x:c r="F12" s="74"/>
      <x:c r="G12" s="68" t="str">
        <x:v>Not Started</x:v>
      </x:c>
      <x:c r="H12" s="68" t="str">
        <x:v>Month 2 - Core Platform</x:v>
      </x:c>
      <x:c r="I12" s="68" t="str">
        <x:v>New Feature</x:v>
      </x:c>
      <x:c r="J12" s="42" t="str">
        <x:v>Corrected records improve AI training data quality</x:v>
      </x:c>
      <x:c r="K12" s="42" t="str">
        <x:v>Admin corrections require a reason and preserve before-and-after values in the audit log.</x:v>
      </x:c>
      <x:c r="L12" s="42" t="str">
        <x:v>Audit log model</x:v>
      </x:c>
      <x:c r="M12" s="42" t="str"/>
    </x:row>
    <x:row r="13" ht="54" customHeight="1">
      <x:c r="A13" s="42" t="str">
        <x:v>Create the AuditLog data model and reusable audit service</x:v>
      </x:c>
      <x:c r="B13" s="68" t="str">
        <x:v>Kasun</x:v>
      </x:c>
      <x:c r="C13" s="68" t="str">
        <x:v>Critical</x:v>
      </x:c>
      <x:c r="D13" s="71" t="n">
        <x:v>46328</x:v>
      </x:c>
      <x:c r="E13" s="71" t="n">
        <x:v>46346</x:v>
      </x:c>
      <x:c r="F13" s="74"/>
      <x:c r="G13" s="68" t="str">
        <x:v>Not Started</x:v>
      </x:c>
      <x:c r="H13" s="68" t="str">
        <x:v>Month 2 - Core Platform</x:v>
      </x:c>
      <x:c r="I13" s="68" t="str">
        <x:v>New Feature</x:v>
      </x:c>
      <x:c r="J13" s="42" t="str">
        <x:v>Tracks AI recommendations, overrides, and model decisions</x:v>
      </x:c>
      <x:c r="K13" s="42" t="str">
        <x:v>Authentication, role, incident, workflow, review, closure, and AI events record actor, time, action, entity, and changes.</x:v>
      </x:c>
      <x:c r="L13" s="42" t="str">
        <x:v>None</x:v>
      </x:c>
      <x:c r="M13" s="42" t="str"/>
    </x:row>
    <x:row r="14" ht="54" customHeight="1">
      <x:c r="A14" s="42" t="str">
        <x:v>Build the Admin audit log viewer with filters and export</x:v>
      </x:c>
      <x:c r="B14" s="68" t="str">
        <x:v>Chandupa</x:v>
      </x:c>
      <x:c r="C14" s="68" t="str">
        <x:v>High</x:v>
      </x:c>
      <x:c r="D14" s="71" t="n">
        <x:v>46349</x:v>
      </x:c>
      <x:c r="E14" s="71" t="n">
        <x:v>46360</x:v>
      </x:c>
      <x:c r="F14" s="74"/>
      <x:c r="G14" s="68" t="str">
        <x:v>Not Started</x:v>
      </x:c>
      <x:c r="H14" s="68" t="str">
        <x:v>Months 2-3 - Governance</x:v>
      </x:c>
      <x:c r="I14" s="68" t="str">
        <x:v>New Feature</x:v>
      </x:c>
      <x:c r="J14" s="42" t="str">
        <x:v>Shows AI recommendation usage and human overrides</x:v>
      </x:c>
      <x:c r="K14" s="42" t="str">
        <x:v>Admin can search and export audit events by user, department, event type, entity, and date.</x:v>
      </x:c>
      <x:c r="L14" s="42" t="str">
        <x:v>Audit log service</x:v>
      </x:c>
      <x:c r="M14" s="42" t="str"/>
    </x:row>
    <x:row r="15" ht="54" customHeight="1">
      <x:c r="A15" s="42" t="str">
        <x:v>Define and implement sensitive-data masking rules</x:v>
      </x:c>
      <x:c r="B15" s="68" t="str">
        <x:v>Kithsara</x:v>
      </x:c>
      <x:c r="C15" s="68" t="str">
        <x:v>Critical</x:v>
      </x:c>
      <x:c r="D15" s="71" t="n">
        <x:v>46357</x:v>
      </x:c>
      <x:c r="E15" s="71" t="n">
        <x:v>46371</x:v>
      </x:c>
      <x:c r="F15" s="74"/>
      <x:c r="G15" s="68" t="str">
        <x:v>Not Started</x:v>
      </x:c>
      <x:c r="H15" s="68" t="str">
        <x:v>Month 3 - Governance</x:v>
      </x:c>
      <x:c r="I15" s="68" t="str">
        <x:v>New Feature</x:v>
      </x:c>
      <x:c r="J15" s="42" t="str">
        <x:v>Prevents sensitive text from being exposed to unauthorized AI views</x:v>
      </x:c>
      <x:c r="K15" s="42" t="str">
        <x:v>Restricted fields are masked by role and are excluded from AI prompts unless explicitly authorized.</x:v>
      </x:c>
      <x:c r="L15" s="42" t="str">
        <x:v>None</x:v>
      </x:c>
      <x:c r="M15" s="42" t="str"/>
    </x:row>
    <x:row r="16" ht="54" customHeight="1">
      <x:c r="A16" s="42" t="str">
        <x:v>Secure evidence storage and authenticated file access</x:v>
      </x:c>
      <x:c r="B16" s="68" t="str">
        <x:v>Kasun</x:v>
      </x:c>
      <x:c r="C16" s="68" t="str">
        <x:v>Critical</x:v>
      </x:c>
      <x:c r="D16" s="71" t="n">
        <x:v>46363</x:v>
      </x:c>
      <x:c r="E16" s="71" t="n">
        <x:v>46374</x:v>
      </x:c>
      <x:c r="F16" s="74"/>
      <x:c r="G16" s="68" t="str">
        <x:v>Not Started</x:v>
      </x:c>
      <x:c r="H16" s="68" t="str">
        <x:v>Month 3 - Governance</x:v>
      </x:c>
      <x:c r="I16" s="68" t="str">
        <x:v>Modify Existing</x:v>
      </x:c>
      <x:c r="J16" s="42" t="str">
        <x:v>Controls evidence supplied to AI summarization</x:v>
      </x:c>
      <x:c r="K16" s="42" t="str">
        <x:v>Files are stored outside public paths, checked for allowed type and size, and served only after incident authorization.</x:v>
      </x:c>
      <x:c r="L16" s="42" t="str">
        <x:v>None</x:v>
      </x:c>
      <x:c r="M16" s="42" t="str"/>
    </x:row>
    <x:row r="17" ht="54" customHeight="1">
      <x:c r="A17" s="42" t="str">
        <x:v>Build system configuration for categories, severity, SLAs, and workflow values</x:v>
      </x:c>
      <x:c r="B17" s="68" t="str">
        <x:v>Chandupa</x:v>
      </x:c>
      <x:c r="C17" s="68" t="str">
        <x:v>Medium</x:v>
      </x:c>
      <x:c r="D17" s="71" t="n">
        <x:v>46370</x:v>
      </x:c>
      <x:c r="E17" s="71" t="n">
        <x:v>46387</x:v>
      </x:c>
      <x:c r="F17" s="74"/>
      <x:c r="G17" s="68" t="str">
        <x:v>Not Started</x:v>
      </x:c>
      <x:c r="H17" s="68" t="str">
        <x:v>Month 3 - Governance</x:v>
      </x:c>
      <x:c r="I17" s="68" t="str">
        <x:v>New Feature</x:v>
      </x:c>
      <x:c r="J17" s="42" t="str">
        <x:v>Provides governed labels and thresholds for AI and analytics</x:v>
      </x:c>
      <x:c r="K17" s="42" t="str">
        <x:v>Admin can update approved configuration values without code changes and changes are audited.</x:v>
      </x:c>
      <x:c r="L17" s="42" t="str">
        <x:v>None</x:v>
      </x:c>
      <x:c r="M17" s="42" t="str"/>
    </x:row>
    <x:row r="18" ht="54" customHeight="1">
      <x:c r="A18" s="42" t="str">
        <x:v>Build enterprise incident analytics across departments</x:v>
      </x:c>
      <x:c r="B18" s="68" t="str">
        <x:v>Kithsara</x:v>
      </x:c>
      <x:c r="C18" s="68" t="str">
        <x:v>High</x:v>
      </x:c>
      <x:c r="D18" s="71" t="n">
        <x:v>46391</x:v>
      </x:c>
      <x:c r="E18" s="71" t="n">
        <x:v>46409</x:v>
      </x:c>
      <x:c r="F18" s="74"/>
      <x:c r="G18" s="68" t="str">
        <x:v>Not Started</x:v>
      </x:c>
      <x:c r="H18" s="68" t="str">
        <x:v>Month 4 - Analytics</x:v>
      </x:c>
      <x:c r="I18" s="68" t="str">
        <x:v>New Feature</x:v>
      </x:c>
      <x:c r="J18" s="42" t="str">
        <x:v>Shows organization-wide frequency, ageing, resolution, and risk concentration</x:v>
      </x:c>
      <x:c r="K18" s="42" t="str">
        <x:v>Dashboard metrics use live incident data and support department and date filters.</x:v>
      </x:c>
      <x:c r="L18" s="42" t="str">
        <x:v>Completed structured incident data</x:v>
      </x:c>
      <x:c r="M18" s="42" t="str"/>
    </x:row>
    <x:row r="19" ht="54" customHeight="1">
      <x:c r="A19" s="42" t="str">
        <x:v>Build the AI data-quality monitoring dashboard</x:v>
      </x:c>
      <x:c r="B19" s="68" t="str">
        <x:v>Kasun</x:v>
      </x:c>
      <x:c r="C19" s="68" t="str">
        <x:v>High</x:v>
      </x:c>
      <x:c r="D19" s="71" t="n">
        <x:v>46405</x:v>
      </x:c>
      <x:c r="E19" s="71" t="n">
        <x:v>46423</x:v>
      </x:c>
      <x:c r="F19" s="74"/>
      <x:c r="G19" s="68" t="str">
        <x:v>Not Started</x:v>
      </x:c>
      <x:c r="H19" s="68" t="str">
        <x:v>Months 4-5 - AI</x:v>
      </x:c>
      <x:c r="I19" s="68" t="str">
        <x:v>New Feature</x:v>
      </x:c>
      <x:c r="J19" s="42" t="str">
        <x:v>Measures completeness and consistency before model use</x:v>
      </x:c>
      <x:c r="K19" s="42" t="str">
        <x:v>Admin sees missing-field rates, invalid values, class balance, and records excluded from model training.</x:v>
      </x:c>
      <x:c r="L19" s="42" t="str">
        <x:v>Seven-object data model</x:v>
      </x:c>
      <x:c r="M19" s="42" t="str"/>
    </x:row>
    <x:row r="20" ht="54" customHeight="1">
      <x:c r="A20" s="42" t="str">
        <x:v>Implement AI model registry and model-version metadata</x:v>
      </x:c>
      <x:c r="B20" s="68" t="str">
        <x:v>Kithsara</x:v>
      </x:c>
      <x:c r="C20" s="68" t="str">
        <x:v>High</x:v>
      </x:c>
      <x:c r="D20" s="71" t="n">
        <x:v>46419</x:v>
      </x:c>
      <x:c r="E20" s="71" t="n">
        <x:v>46430</x:v>
      </x:c>
      <x:c r="F20" s="74"/>
      <x:c r="G20" s="68" t="str">
        <x:v>Not Started</x:v>
      </x:c>
      <x:c r="H20" s="68" t="str">
        <x:v>Month 5 - AI</x:v>
      </x:c>
      <x:c r="I20" s="68" t="str">
        <x:v>New Feature</x:v>
      </x:c>
      <x:c r="J20" s="42" t="str">
        <x:v>Tracks predictive-risk and similarity model versions</x:v>
      </x:c>
      <x:c r="K20" s="42" t="str">
        <x:v>Each model version records training date, dataset version, metrics, status, and deployment history.</x:v>
      </x:c>
      <x:c r="L20" s="42" t="str">
        <x:v>None</x:v>
      </x:c>
      <x:c r="M20" s="42" t="str"/>
    </x:row>
    <x:row r="21" ht="54" customHeight="1">
      <x:c r="A21" s="42" t="str">
        <x:v>Build AI model health, accuracy, and drift monitoring</x:v>
      </x:c>
      <x:c r="B21" s="68" t="str">
        <x:v>Chandupa</x:v>
      </x:c>
      <x:c r="C21" s="68" t="str">
        <x:v>High</x:v>
      </x:c>
      <x:c r="D21" s="71" t="n">
        <x:v>46426</x:v>
      </x:c>
      <x:c r="E21" s="71" t="n">
        <x:v>46437</x:v>
      </x:c>
      <x:c r="F21" s="74"/>
      <x:c r="G21" s="68" t="str">
        <x:v>Not Started</x:v>
      </x:c>
      <x:c r="H21" s="68" t="str">
        <x:v>Month 5 - AI</x:v>
      </x:c>
      <x:c r="I21" s="68" t="str">
        <x:v>New Feature</x:v>
      </x:c>
      <x:c r="J21" s="42" t="str">
        <x:v>Alerts Admin when predictive performance or data patterns change</x:v>
      </x:c>
      <x:c r="K21" s="42" t="str">
        <x:v>The dashboard displays accuracy, drift indicators, failures, latency, and the active model version.</x:v>
      </x:c>
      <x:c r="L21" s="42" t="str">
        <x:v>AI model registry</x:v>
      </x:c>
      <x:c r="M21" s="42" t="str"/>
    </x:row>
    <x:row r="22" ht="54" customHeight="1">
      <x:c r="A22" s="42" t="str">
        <x:v>Implement model retraining approval and rollback workflow</x:v>
      </x:c>
      <x:c r="B22" s="68" t="str">
        <x:v>Kasun</x:v>
      </x:c>
      <x:c r="C22" s="68" t="str">
        <x:v>Medium</x:v>
      </x:c>
      <x:c r="D22" s="71" t="n">
        <x:v>46433</x:v>
      </x:c>
      <x:c r="E22" s="71" t="n">
        <x:v>46444</x:v>
      </x:c>
      <x:c r="F22" s="74"/>
      <x:c r="G22" s="68" t="str">
        <x:v>Not Started</x:v>
      </x:c>
      <x:c r="H22" s="68" t="str">
        <x:v>Month 5 - AI</x:v>
      </x:c>
      <x:c r="I22" s="68" t="str">
        <x:v>New Feature</x:v>
      </x:c>
      <x:c r="J22" s="42" t="str">
        <x:v>Keeps model changes under human governance</x:v>
      </x:c>
      <x:c r="K22" s="42" t="str">
        <x:v>Admin can approve, reject, deploy, and roll back a model version with an audit trail.</x:v>
      </x:c>
      <x:c r="L22" s="42" t="str">
        <x:v>Model registry and health monitoring</x:v>
      </x:c>
      <x:c r="M22" s="42" t="str"/>
    </x:row>
    <x:row r="23" ht="54" customHeight="1">
      <x:c r="A23" s="42" t="str">
        <x:v>Run security and authorization penetration tests</x:v>
      </x:c>
      <x:c r="B23" s="68" t="str">
        <x:v>Kithsara</x:v>
      </x:c>
      <x:c r="C23" s="68" t="str">
        <x:v>Critical</x:v>
      </x:c>
      <x:c r="D23" s="71" t="n">
        <x:v>46447</x:v>
      </x:c>
      <x:c r="E23" s="71" t="n">
        <x:v>46458</x:v>
      </x:c>
      <x:c r="F23" s="74"/>
      <x:c r="G23" s="68" t="str">
        <x:v>Not Started</x:v>
      </x:c>
      <x:c r="H23" s="68" t="str">
        <x:v>Month 6 - Validation</x:v>
      </x:c>
      <x:c r="I23" s="68" t="str">
        <x:v>Testing and Documentation</x:v>
      </x:c>
      <x:c r="J23" s="42" t="str">
        <x:v>Includes AI endpoints, prompt inputs, and model administration</x:v>
      </x:c>
      <x:c r="K23" s="42" t="str">
        <x:v>Automated and manual tests prove cross-role and cross-department access is denied unless explicitly permitted.</x:v>
      </x:c>
      <x:c r="L23" s="42" t="str">
        <x:v>None</x:v>
      </x:c>
      <x:c r="M23" s="42" t="str"/>
    </x:row>
    <x:row r="24" ht="54" customHeight="1">
      <x:c r="A24" s="42" t="str">
        <x:v>Run concurrency, performance, and availability tests</x:v>
      </x:c>
      <x:c r="B24" s="68" t="str">
        <x:v>Chandupa</x:v>
      </x:c>
      <x:c r="C24" s="68" t="str">
        <x:v>High</x:v>
      </x:c>
      <x:c r="D24" s="71" t="n">
        <x:v>46454</x:v>
      </x:c>
      <x:c r="E24" s="71" t="n">
        <x:v>46465</x:v>
      </x:c>
      <x:c r="F24" s="74"/>
      <x:c r="G24" s="68" t="str">
        <x:v>Not Started</x:v>
      </x:c>
      <x:c r="H24" s="68" t="str">
        <x:v>Month 6 - Validation</x:v>
      </x:c>
      <x:c r="I24" s="68" t="str">
        <x:v>Testing and Documentation</x:v>
      </x:c>
      <x:c r="J24" s="42" t="str">
        <x:v>Measures AI endpoint latency separately from core workflow latency</x:v>
      </x:c>
      <x:c r="K24" s="42" t="str">
        <x:v>The agreed concurrent-user target is met and slow AI jobs do not block incident operations.</x:v>
      </x:c>
      <x:c r="L24" s="42" t="str">
        <x:v>None</x:v>
      </x:c>
      <x:c r="M24" s="42" t="str"/>
    </x:row>
    <x:row r="25" ht="54" customHeight="1">
      <x:c r="A25" s="42" t="str">
        <x:v>Implement backup, recovery, monitoring, and production deployment procedures</x:v>
      </x:c>
      <x:c r="B25" s="68" t="str">
        <x:v>Kasun</x:v>
      </x:c>
      <x:c r="C25" s="68" t="str">
        <x:v>High</x:v>
      </x:c>
      <x:c r="D25" s="71" t="n">
        <x:v>46461</x:v>
      </x:c>
      <x:c r="E25" s="71" t="n">
        <x:v>46472</x:v>
      </x:c>
      <x:c r="F25" s="74"/>
      <x:c r="G25" s="68" t="str">
        <x:v>Not Started</x:v>
      </x:c>
      <x:c r="H25" s="68" t="str">
        <x:v>Month 6 - Deployment</x:v>
      </x:c>
      <x:c r="I25" s="68" t="str">
        <x:v>New Feature</x:v>
      </x:c>
      <x:c r="J25" s="42" t="str">
        <x:v>Includes AI artifacts, vector indexes, and model metadata</x:v>
      </x:c>
      <x:c r="K25" s="42" t="str">
        <x:v>A documented deployment, backup, restore, monitoring, and rollback exercise succeeds in the target environment.</x:v>
      </x:c>
      <x:c r="L25" s="42" t="str">
        <x:v>None</x:v>
      </x:c>
      <x:c r="M25" s="42" t="str"/>
    </x:row>
    <x:row r="26" ht="54" customHeight="1">
      <x:c r="A26" s="43" t="str">
        <x:v>Complete Admin UAT, training, and handover documentation</x:v>
      </x:c>
      <x:c r="B26" s="69" t="str">
        <x:v>Kithsara</x:v>
      </x:c>
      <x:c r="C26" s="69" t="str">
        <x:v>Medium</x:v>
      </x:c>
      <x:c r="D26" s="72" t="n">
        <x:v>46468</x:v>
      </x:c>
      <x:c r="E26" s="72" t="n">
        <x:v>46477</x:v>
      </x:c>
      <x:c r="F26" s="75"/>
      <x:c r="G26" s="69" t="str">
        <x:v>Not Started</x:v>
      </x:c>
      <x:c r="H26" s="69" t="str">
        <x:v>Month 6 - Deployment</x:v>
      </x:c>
      <x:c r="I26" s="69" t="str">
        <x:v>Testing and Documentation</x:v>
      </x:c>
      <x:c r="J26" s="43" t="str">
        <x:v>Explains AI limitations, governance, and override responsibilities</x:v>
      </x:c>
      <x:c r="K26" s="43" t="str">
        <x:v>Admin stakeholders approve the workflows and receive operating and support documentation.</x:v>
      </x:c>
      <x:c r="L26" s="43" t="str">
        <x:v>None</x:v>
      </x:c>
      <x:c r="M26" s="43" t="str"/>
    </x:row>
  </x:sheetData>
  <x:mergeCells>
    <x:mergeCell ref="A2:M2"/>
  </x:mergeCells>
  <x:conditionalFormatting sqref="C5:C200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</x:conditionalFormatting>
  <x:conditionalFormatting sqref="G5:G200">
    <x:cfRule type="containsText" dxfId="4" priority="5" operator="containsText" text="Completed"/>
    <x:cfRule type="containsText" dxfId="5" priority="6" operator="containsText" text="In Progress"/>
    <x:cfRule type="containsText" dxfId="6" priority="7" operator="containsText" text="Blocked"/>
    <x:cfRule type="containsText" dxfId="7" priority="8" operator="containsText" text="In Review"/>
  </x:conditionalFormatting>
  <x:dataValidations count="4">
    <x:dataValidation type="list" sqref="B5:B200">
      <x:formula1>"Kasun,Kithsara,Chandupa"</x:formula1>
    </x:dataValidation>
    <x:dataValidation type="list" sqref="C5:C200">
      <x:formula1>"Critical,High,Medium,Low"</x:formula1>
    </x:dataValidation>
    <x:dataValidation type="list" sqref="G5:G200">
      <x:formula1>"Not Started,In Progress,Blocked,In Review,Completed"</x:formula1>
    </x:dataValidation>
    <x:dataValidation type="list" sqref="I5:I200">
      <x:formula1>"Modify Existing,New Feature,Bug Fix,Research and Design,Testing and 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163e7b66fa4917"/>
  </x:tableParts>
</x:worksheet>
</file>

<file path=xl/worksheets/sheet3.xml><?xml version="1.0" encoding="utf-8"?>
<x:worksheet xmlns:x="http://schemas.openxmlformats.org/spreadsheetml/2006/main">
  <x:sheetPr>
    <x:tabColor rgb="FF2952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25" hidden="0" customWidth="1"/>
    <x:col min="9" max="9" width="24" hidden="0" customWidth="1"/>
    <x:col min="10" max="10" width="46" hidden="0" customWidth="1"/>
    <x:col min="11" max="11" width="58" hidden="0" customWidth="1"/>
    <x:col min="12" max="12" width="34" hidden="0" customWidth="1"/>
    <x:col min="13" max="13" width="28" hidden="0" customWidth="1"/>
  </x:cols>
  <x:sheetData>
    <x:row r="2">
      <x:c r="A2" s="76" t="str">
        <x:v>Department Manager Delivery Plan</x:v>
      </x:c>
    </x:row>
    <x:row r="3">
      <x:c r="A3" s="52" t="str">
        <x:v>Tasks</x:v>
      </x:c>
      <x:c r="B3" s="53" t="n">
        <x:f>COUNTA(A5:A200)</x:f>
        <x:v>28</x:v>
      </x:c>
      <x:c r="C3" s="53" t="str">
        <x:v>Completed</x:v>
      </x:c>
      <x:c r="D3" s="53" t="n">
        <x:f>COUNTIF(G5:G200,"Completed")</x:f>
        <x:v>0</x:v>
      </x:c>
      <x:c r="E3" s="53" t="str">
        <x:v>Progress</x:v>
      </x:c>
      <x:c r="F3" s="54" t="n">
        <x:f>IF(B3=0,0,D3/B3)</x:f>
        <x:v>0</x:v>
      </x:c>
    </x:row>
    <x:row r="4" ht="34" customHeight="1">
      <x:c r="A4" s="86" t="str">
        <x:v>Task</x:v>
      </x:c>
      <x:c r="B4" s="87" t="str">
        <x:v>Assigned To</x:v>
      </x:c>
      <x:c r="C4" s="87" t="str">
        <x:v>Priority</x:v>
      </x:c>
      <x:c r="D4" s="87" t="str">
        <x:v>Start Date</x:v>
      </x:c>
      <x:c r="E4" s="87" t="str">
        <x:v>End Date</x:v>
      </x:c>
      <x:c r="F4" s="87" t="str">
        <x:v>Time Spent (Hours)</x:v>
      </x:c>
      <x:c r="G4" s="87" t="str">
        <x:v>Status</x:v>
      </x:c>
      <x:c r="H4" s="87" t="str">
        <x:v>Phase</x:v>
      </x:c>
      <x:c r="I4" s="87" t="str">
        <x:v>Change Type</x:v>
      </x:c>
      <x:c r="J4" s="87" t="str">
        <x:v>AI Integration</x:v>
      </x:c>
      <x:c r="K4" s="87" t="str">
        <x:v>Acceptance Criteria</x:v>
      </x:c>
      <x:c r="L4" s="87" t="str">
        <x:v>Dependencies</x:v>
      </x:c>
      <x:c r="M4" s="88" t="str">
        <x:v>Notes</x:v>
      </x:c>
    </x:row>
    <x:row r="5" ht="54" customHeight="1">
      <x:c r="A5" s="41" t="str">
        <x:v>Enforce own-department access on every Manager incident API</x:v>
      </x:c>
      <x:c r="B5" s="67" t="str">
        <x:v>Kasun</x:v>
      </x:c>
      <x:c r="C5" s="67" t="str">
        <x:v>Critical</x:v>
      </x:c>
      <x:c r="D5" s="70" t="n">
        <x:v>46296</x:v>
      </x:c>
      <x:c r="E5" s="70" t="n">
        <x:v>46307</x:v>
      </x:c>
      <x:c r="F5" s="73"/>
      <x:c r="G5" s="67" t="str">
        <x:v>Not Started</x:v>
      </x:c>
      <x:c r="H5" s="67" t="str">
        <x:v>Month 1 - Foundation</x:v>
      </x:c>
      <x:c r="I5" s="67" t="str">
        <x:v>Bug Fix</x:v>
      </x:c>
      <x:c r="J5" s="41" t="str">
        <x:v>Restricts department AI insights to authorized managers</x:v>
      </x:c>
      <x:c r="K5" s="41" t="str">
        <x:v>A Manager cannot read or modify an incident outside the department in the signed token.</x:v>
      </x:c>
      <x:c r="L5" s="41" t="str">
        <x:v>None</x:v>
      </x:c>
      <x:c r="M5" s="41" t="str"/>
    </x:row>
    <x:row r="6" ht="54" customHeight="1">
      <x:c r="A6" s="42" t="str">
        <x:v>Restrict investigator and action-owner assignment candidates to the Manager department</x:v>
      </x:c>
      <x:c r="B6" s="68" t="str">
        <x:v>Kithsara</x:v>
      </x:c>
      <x:c r="C6" s="68" t="str">
        <x:v>Critical</x:v>
      </x:c>
      <x:c r="D6" s="71" t="n">
        <x:v>46303</x:v>
      </x:c>
      <x:c r="E6" s="71" t="n">
        <x:v>46314</x:v>
      </x:c>
      <x:c r="F6" s="74"/>
      <x:c r="G6" s="68" t="str">
        <x:v>Not Started</x:v>
      </x:c>
      <x:c r="H6" s="68" t="str">
        <x:v>Month 1 - Foundation</x:v>
      </x:c>
      <x:c r="I6" s="68" t="str">
        <x:v>Bug Fix</x:v>
      </x:c>
      <x:c r="J6" s="42" t="str">
        <x:v>Prevents cross-department AI recommendations and assignments</x:v>
      </x:c>
      <x:c r="K6" s="42" t="str">
        <x:v>Assignment APIs and dropdowns return only eligible active users in the Manager department.</x:v>
      </x:c>
      <x:c r="L6" s="42" t="str">
        <x:v>None</x:v>
      </x:c>
      <x:c r="M6" s="42" t="str"/>
    </x:row>
    <x:row r="7" ht="54" customHeight="1">
      <x:c r="A7" s="42" t="str">
        <x:v>Redesign the Manager dashboard around department risk and workflow queues</x:v>
      </x:c>
      <x:c r="B7" s="68" t="str">
        <x:v>Chandupa</x:v>
      </x:c>
      <x:c r="C7" s="68" t="str">
        <x:v>High</x:v>
      </x:c>
      <x:c r="D7" s="71" t="n">
        <x:v>46307</x:v>
      </x:c>
      <x:c r="E7" s="71" t="n">
        <x:v>46325</x:v>
      </x:c>
      <x:c r="F7" s="74"/>
      <x:c r="G7" s="68" t="str">
        <x:v>Not Started</x:v>
      </x:c>
      <x:c r="H7" s="68" t="str">
        <x:v>Month 1 - Foundation</x:v>
      </x:c>
      <x:c r="I7" s="68" t="str">
        <x:v>Modify Existing</x:v>
      </x:c>
      <x:c r="J7" s="42" t="str">
        <x:v>Creates the home for role-specific AI risk insights</x:v>
      </x:c>
      <x:c r="K7" s="42" t="str">
        <x:v>Dashboard shows submitted, investigating, action overdue, review pending, high-risk, and closed counts from live data.</x:v>
      </x:c>
      <x:c r="L7" s="42" t="str">
        <x:v>None</x:v>
      </x:c>
      <x:c r="M7" s="42" t="str"/>
    </x:row>
    <x:row r="8" ht="54" customHeight="1">
      <x:c r="A8" s="42" t="str">
        <x:v>Add accept, reject, comment, and revision-request decisions</x:v>
      </x:c>
      <x:c r="B8" s="68" t="str">
        <x:v>Kasun</x:v>
      </x:c>
      <x:c r="C8" s="68" t="str">
        <x:v>Critical</x:v>
      </x:c>
      <x:c r="D8" s="71" t="n">
        <x:v>46314</x:v>
      </x:c>
      <x:c r="E8" s="71" t="n">
        <x:v>46332</x:v>
      </x:c>
      <x:c r="F8" s="74"/>
      <x:c r="G8" s="68" t="str">
        <x:v>Not Started</x:v>
      </x:c>
      <x:c r="H8" s="68" t="str">
        <x:v>Months 1-2 - Core Workflow</x:v>
      </x:c>
      <x:c r="I8" s="68" t="str">
        <x:v>Modify Existing</x:v>
      </x:c>
      <x:c r="J8" s="42" t="str">
        <x:v>Stores manager feedback that can improve AI classification quality</x:v>
      </x:c>
      <x:c r="K8" s="42" t="str">
        <x:v>Manager can accept, reject, or request revision with mandatory comments and the reporter can view the decision.</x:v>
      </x:c>
      <x:c r="L8" s="42" t="str">
        <x:v>None</x:v>
      </x:c>
      <x:c r="M8" s="42" t="str"/>
    </x:row>
    <x:row r="9" ht="54" customHeight="1">
      <x:c r="A9" s="42" t="str">
        <x:v>Add controlled incident editing with validation and audit history</x:v>
      </x:c>
      <x:c r="B9" s="68" t="str">
        <x:v>Kithsara</x:v>
      </x:c>
      <x:c r="C9" s="68" t="str">
        <x:v>High</x:v>
      </x:c>
      <x:c r="D9" s="71" t="n">
        <x:v>46328</x:v>
      </x:c>
      <x:c r="E9" s="71" t="n">
        <x:v>46339</x:v>
      </x:c>
      <x:c r="F9" s="74"/>
      <x:c r="G9" s="68" t="str">
        <x:v>Not Started</x:v>
      </x:c>
      <x:c r="H9" s="68" t="str">
        <x:v>Month 2 - Core Workflow</x:v>
      </x:c>
      <x:c r="I9" s="68" t="str">
        <x:v>New Feature</x:v>
      </x:c>
      <x:c r="J9" s="42" t="str">
        <x:v>Improves structured fields used by analytics and AI</x:v>
      </x:c>
      <x:c r="K9" s="42" t="str">
        <x:v>Manager can edit authorized incident details and every change is validated and audited.</x:v>
      </x:c>
      <x:c r="L9" s="42" t="str">
        <x:v>None</x:v>
      </x:c>
      <x:c r="M9" s="42" t="str"/>
    </x:row>
    <x:row r="10" ht="54" customHeight="1">
      <x:c r="A10" s="42" t="str">
        <x:v>Implement investigator assignment after acceptance</x:v>
      </x:c>
      <x:c r="B10" s="68" t="str">
        <x:v>Chandupa</x:v>
      </x:c>
      <x:c r="C10" s="68" t="str">
        <x:v>Critical</x:v>
      </x:c>
      <x:c r="D10" s="71" t="n">
        <x:v>46335</x:v>
      </x:c>
      <x:c r="E10" s="71" t="n">
        <x:v>46344</x:v>
      </x:c>
      <x:c r="F10" s="74"/>
      <x:c r="G10" s="68" t="str">
        <x:v>Not Started</x:v>
      </x:c>
      <x:c r="H10" s="68" t="str">
        <x:v>Month 2 - Core Workflow</x:v>
      </x:c>
      <x:c r="I10" s="68" t="str">
        <x:v>Modify Existing</x:v>
      </x:c>
      <x:c r="J10" s="42" t="str">
        <x:v>Can later use workload-aware AI assignment suggestions</x:v>
      </x:c>
      <x:c r="K10" s="42" t="str">
        <x:v>Only accepted incidents can receive an eligible department investigator and the transition is audited.</x:v>
      </x:c>
      <x:c r="L10" s="42" t="str">
        <x:v>None</x:v>
      </x:c>
      <x:c r="M10" s="42" t="str"/>
    </x:row>
    <x:row r="11" ht="54" customHeight="1">
      <x:c r="A11" s="42" t="str">
        <x:v>Build Manager review of submitted investigation findings</x:v>
      </x:c>
      <x:c r="B11" s="68" t="str">
        <x:v>Kasun</x:v>
      </x:c>
      <x:c r="C11" s="68" t="str">
        <x:v>High</x:v>
      </x:c>
      <x:c r="D11" s="71" t="n">
        <x:v>46342</x:v>
      </x:c>
      <x:c r="E11" s="71" t="n">
        <x:v>46353</x:v>
      </x:c>
      <x:c r="F11" s="74"/>
      <x:c r="G11" s="68" t="str">
        <x:v>Not Started</x:v>
      </x:c>
      <x:c r="H11" s="68" t="str">
        <x:v>Month 2 - Core Workflow</x:v>
      </x:c>
      <x:c r="I11" s="68" t="str">
        <x:v>New Feature</x:v>
      </x:c>
      <x:c r="J11" s="42" t="str">
        <x:v>Displays AI similarity evidence beside human investigation findings</x:v>
      </x:c>
      <x:c r="K11" s="42" t="str">
        <x:v>Manager can approve investigation findings or return them to the assigned investigator with comments.</x:v>
      </x:c>
      <x:c r="L11" s="42" t="str">
        <x:v>None</x:v>
      </x:c>
      <x:c r="M11" s="42" t="str"/>
    </x:row>
    <x:row r="12" ht="54" customHeight="1">
      <x:c r="A12" s="42" t="str">
        <x:v>Block Action Owner assignment until root-cause submission is approved</x:v>
      </x:c>
      <x:c r="B12" s="68" t="str">
        <x:v>Kithsara</x:v>
      </x:c>
      <x:c r="C12" s="68" t="str">
        <x:v>Critical</x:v>
      </x:c>
      <x:c r="D12" s="71" t="n">
        <x:v>46349</x:v>
      </x:c>
      <x:c r="E12" s="71" t="n">
        <x:v>46360</x:v>
      </x:c>
      <x:c r="F12" s="74"/>
      <x:c r="G12" s="68" t="str">
        <x:v>Not Started</x:v>
      </x:c>
      <x:c r="H12" s="68" t="str">
        <x:v>Months 2-3 - Workflow Control</x:v>
      </x:c>
      <x:c r="I12" s="68" t="str">
        <x:v>Bug Fix</x:v>
      </x:c>
      <x:c r="J12" s="42" t="str">
        <x:v>Prevents AI action recommendations from using incomplete RCA</x:v>
      </x:c>
      <x:c r="K12" s="42" t="str">
        <x:v>The API rejects assignment until required investigation and root-cause fields are complete and approved.</x:v>
      </x:c>
      <x:c r="L12" s="42" t="str">
        <x:v>None</x:v>
      </x:c>
      <x:c r="M12" s="42" t="str"/>
    </x:row>
    <x:row r="13" ht="54" customHeight="1">
      <x:c r="A13" s="42" t="str">
        <x:v>Support assignment of one or more Action Owners to action items</x:v>
      </x:c>
      <x:c r="B13" s="68" t="str">
        <x:v>Chandupa</x:v>
      </x:c>
      <x:c r="C13" s="68" t="str">
        <x:v>High</x:v>
      </x:c>
      <x:c r="D13" s="71" t="n">
        <x:v>46357</x:v>
      </x:c>
      <x:c r="E13" s="71" t="n">
        <x:v>46367</x:v>
      </x:c>
      <x:c r="F13" s="74"/>
      <x:c r="G13" s="68" t="str">
        <x:v>Not Started</x:v>
      </x:c>
      <x:c r="H13" s="68" t="str">
        <x:v>Month 3 - Workflow Control</x:v>
      </x:c>
      <x:c r="I13" s="68" t="str">
        <x:v>New Feature</x:v>
      </x:c>
      <x:c r="J13" s="42" t="str">
        <x:v>Enables AI monitoring per action and owner</x:v>
      </x:c>
      <x:c r="K13" s="42" t="str">
        <x:v>Manager can assign each action to an eligible owner and every owner sees only assigned actions.</x:v>
      </x:c>
      <x:c r="L13" s="42" t="str">
        <x:v>None</x:v>
      </x:c>
      <x:c r="M13" s="42" t="str"/>
    </x:row>
    <x:row r="14" ht="54" customHeight="1">
      <x:c r="A14" s="42" t="str">
        <x:v>Create multiple corrective and preventive action items</x:v>
      </x:c>
      <x:c r="B14" s="68" t="str">
        <x:v>Kasun</x:v>
      </x:c>
      <x:c r="C14" s="68" t="str">
        <x:v>Critical</x:v>
      </x:c>
      <x:c r="D14" s="71" t="n">
        <x:v>46357</x:v>
      </x:c>
      <x:c r="E14" s="71" t="n">
        <x:v>46374</x:v>
      </x:c>
      <x:c r="F14" s="74"/>
      <x:c r="G14" s="68" t="str">
        <x:v>Not Started</x:v>
      </x:c>
      <x:c r="H14" s="68" t="str">
        <x:v>Month 3 - Workflow Control</x:v>
      </x:c>
      <x:c r="I14" s="68" t="str">
        <x:v>New Feature</x:v>
      </x:c>
      <x:c r="J14" s="42" t="str">
        <x:v>Provides structured action data for similarity and effectiveness models</x:v>
      </x:c>
      <x:c r="K14" s="42" t="str">
        <x:v>Manager can create multiple actions with type, priority, owner, due date, status, and description.</x:v>
      </x:c>
      <x:c r="L14" s="42" t="str">
        <x:v>None</x:v>
      </x:c>
      <x:c r="M14" s="42" t="str"/>
    </x:row>
    <x:row r="15" ht="54" customHeight="1">
      <x:c r="A15" s="42" t="str">
        <x:v>Add action priority, due-date, and escalation management</x:v>
      </x:c>
      <x:c r="B15" s="68" t="str">
        <x:v>Kithsara</x:v>
      </x:c>
      <x:c r="C15" s="68" t="str">
        <x:v>High</x:v>
      </x:c>
      <x:c r="D15" s="71" t="n">
        <x:v>46370</x:v>
      </x:c>
      <x:c r="E15" s="71" t="n">
        <x:v>46380</x:v>
      </x:c>
      <x:c r="F15" s="74"/>
      <x:c r="G15" s="68" t="str">
        <x:v>Not Started</x:v>
      </x:c>
      <x:c r="H15" s="68" t="str">
        <x:v>Month 3 - Workflow Control</x:v>
      </x:c>
      <x:c r="I15" s="68" t="str">
        <x:v>New Feature</x:v>
      </x:c>
      <x:c r="J15" s="42" t="str">
        <x:v>Feeds overdue and completion-risk AI features</x:v>
      </x:c>
      <x:c r="K15" s="42" t="str">
        <x:v>Manager can change authorized action priorities and due dates with reason and notifications.</x:v>
      </x:c>
      <x:c r="L15" s="42" t="str">
        <x:v>None</x:v>
      </x:c>
      <x:c r="M15" s="42" t="str"/>
    </x:row>
    <x:row r="16" ht="54" customHeight="1">
      <x:c r="A16" s="42" t="str">
        <x:v>Build existing-control assessment and new-control planning</x:v>
      </x:c>
      <x:c r="B16" s="68" t="str">
        <x:v>Chandupa</x:v>
      </x:c>
      <x:c r="C16" s="68" t="str">
        <x:v>Critical</x:v>
      </x:c>
      <x:c r="D16" s="71" t="n">
        <x:v>46363</x:v>
      </x:c>
      <x:c r="E16" s="71" t="n">
        <x:v>46380</x:v>
      </x:c>
      <x:c r="F16" s="74"/>
      <x:c r="G16" s="68" t="str">
        <x:v>Not Started</x:v>
      </x:c>
      <x:c r="H16" s="68" t="str">
        <x:v>Month 3 - Controls and Review</x:v>
      </x:c>
      <x:c r="I16" s="68" t="str">
        <x:v>New Feature</x:v>
      </x:c>
      <x:c r="J16" s="42" t="str">
        <x:v>Supplies control-effectiveness analytics and AI recommendations</x:v>
      </x:c>
      <x:c r="K16" s="42" t="str">
        <x:v>Manager can record control type, effectiveness, failure reason, required improvements, owner, date, and status.</x:v>
      </x:c>
      <x:c r="L16" s="42" t="str">
        <x:v>None</x:v>
      </x:c>
      <x:c r="M16" s="42" t="str"/>
    </x:row>
    <x:row r="17" ht="54" customHeight="1">
      <x:c r="A17" s="42" t="str">
        <x:v>Build management Review records with outcome and comments</x:v>
      </x:c>
      <x:c r="B17" s="68" t="str">
        <x:v>Kasun</x:v>
      </x:c>
      <x:c r="C17" s="68" t="str">
        <x:v>Critical</x:v>
      </x:c>
      <x:c r="D17" s="71" t="n">
        <x:v>46377</x:v>
      </x:c>
      <x:c r="E17" s="71" t="n">
        <x:v>46395</x:v>
      </x:c>
      <x:c r="F17" s="74"/>
      <x:c r="G17" s="68" t="str">
        <x:v>Not Started</x:v>
      </x:c>
      <x:c r="H17" s="68" t="str">
        <x:v>Months 3-4 - Controls and Review</x:v>
      </x:c>
      <x:c r="I17" s="68" t="str">
        <x:v>New Feature</x:v>
      </x:c>
      <x:c r="J17" s="42" t="str">
        <x:v>Shows AI evidence without replacing the Manager decision</x:v>
      </x:c>
      <x:c r="K17" s="42" t="str">
        <x:v>Review captures reviewer, date, outcome, comments, lessons learned, dissemination, and follow-up details.</x:v>
      </x:c>
      <x:c r="L17" s="42" t="str">
        <x:v>None</x:v>
      </x:c>
      <x:c r="M17" s="42" t="str"/>
    </x:row>
    <x:row r="18" ht="54" customHeight="1">
      <x:c r="A18" s="42" t="str">
        <x:v>Add lessons-learned dissemination and follow-up scheduling</x:v>
      </x:c>
      <x:c r="B18" s="68" t="str">
        <x:v>Kithsara</x:v>
      </x:c>
      <x:c r="C18" s="68" t="str">
        <x:v>Medium</x:v>
      </x:c>
      <x:c r="D18" s="71" t="n">
        <x:v>46391</x:v>
      </x:c>
      <x:c r="E18" s="71" t="n">
        <x:v>46402</x:v>
      </x:c>
      <x:c r="F18" s="74"/>
      <x:c r="G18" s="68" t="str">
        <x:v>Not Started</x:v>
      </x:c>
      <x:c r="H18" s="68" t="str">
        <x:v>Month 4 - Analytics</x:v>
      </x:c>
      <x:c r="I18" s="68" t="str">
        <x:v>New Feature</x:v>
      </x:c>
      <x:c r="J18" s="42" t="str">
        <x:v>Populates the AI-categorized lessons library</x:v>
      </x:c>
      <x:c r="K18" s="42" t="str">
        <x:v>Manager can select audiences, schedule follow-up, and track dissemination status.</x:v>
      </x:c>
      <x:c r="L18" s="42" t="str">
        <x:v>None</x:v>
      </x:c>
      <x:c r="M18" s="42" t="str"/>
    </x:row>
    <x:row r="19" ht="54" customHeight="1">
      <x:c r="A19" s="42" t="str">
        <x:v>Enforce closure prerequisites and create a structured closure record</x:v>
      </x:c>
      <x:c r="B19" s="68" t="str">
        <x:v>Chandupa</x:v>
      </x:c>
      <x:c r="C19" s="68" t="str">
        <x:v>Critical</x:v>
      </x:c>
      <x:c r="D19" s="71" t="n">
        <x:v>46391</x:v>
      </x:c>
      <x:c r="E19" s="71" t="n">
        <x:v>46409</x:v>
      </x:c>
      <x:c r="F19" s="74"/>
      <x:c r="G19" s="68" t="str">
        <x:v>Not Started</x:v>
      </x:c>
      <x:c r="H19" s="68" t="str">
        <x:v>Month 4 - Analytics</x:v>
      </x:c>
      <x:c r="I19" s="68" t="str">
        <x:v>Modify Existing</x:v>
      </x:c>
      <x:c r="J19" s="42" t="str">
        <x:v>Creates reliable labels for resolution-time and severity models</x:v>
      </x:c>
      <x:c r="K19" s="42" t="str">
        <x:v>Close is allowed only after all actions are completed, controls are verified, and review is approved.</x:v>
      </x:c>
      <x:c r="L19" s="42" t="str">
        <x:v>None</x:v>
      </x:c>
      <x:c r="M19" s="42" t="str"/>
    </x:row>
    <x:row r="20" ht="54" customHeight="1">
      <x:c r="A20" s="42" t="str">
        <x:v>Add controlled incident reopen workflow</x:v>
      </x:c>
      <x:c r="B20" s="68" t="str">
        <x:v>Kasun</x:v>
      </x:c>
      <x:c r="C20" s="68" t="str">
        <x:v>Medium</x:v>
      </x:c>
      <x:c r="D20" s="71" t="n">
        <x:v>46405</x:v>
      </x:c>
      <x:c r="E20" s="71" t="n">
        <x:v>46416</x:v>
      </x:c>
      <x:c r="F20" s="74"/>
      <x:c r="G20" s="68" t="str">
        <x:v>Not Started</x:v>
      </x:c>
      <x:c r="H20" s="68" t="str">
        <x:v>Month 4 - Analytics</x:v>
      </x:c>
      <x:c r="I20" s="68" t="str">
        <x:v>New Feature</x:v>
      </x:c>
      <x:c r="J20" s="42" t="str">
        <x:v>Tracks recurrence outcomes for AI evaluation</x:v>
      </x:c>
      <x:c r="K20" s="42" t="str">
        <x:v>Authorized Manager can reopen a closed incident with reason while preserving closure history.</x:v>
      </x:c>
      <x:c r="L20" s="42" t="str">
        <x:v>None</x:v>
      </x:c>
      <x:c r="M20" s="42" t="str"/>
    </x:row>
    <x:row r="21" ht="54" customHeight="1">
      <x:c r="A21" s="42" t="str">
        <x:v>Upgrade the incident register with server-side search, filters, sorting, and pagination</x:v>
      </x:c>
      <x:c r="B21" s="68" t="str">
        <x:v>Kithsara</x:v>
      </x:c>
      <x:c r="C21" s="68" t="str">
        <x:v>High</x:v>
      </x:c>
      <x:c r="D21" s="71" t="n">
        <x:v>46398</x:v>
      </x:c>
      <x:c r="E21" s="71" t="n">
        <x:v>46416</x:v>
      </x:c>
      <x:c r="F21" s="74"/>
      <x:c r="G21" s="68" t="str">
        <x:v>Not Started</x:v>
      </x:c>
      <x:c r="H21" s="68" t="str">
        <x:v>Month 4 - Analytics</x:v>
      </x:c>
      <x:c r="I21" s="68" t="str">
        <x:v>Modify Existing</x:v>
      </x:c>
      <x:c r="J21" s="42" t="str">
        <x:v>Supports filtered AI and analytical investigation</x:v>
      </x:c>
      <x:c r="K21" s="42" t="str">
        <x:v>Register supports ID, title, category, severity, status, location, date, reporter, and owner filters at scale.</x:v>
      </x:c>
      <x:c r="L21" s="42" t="str">
        <x:v>None</x:v>
      </x:c>
      <x:c r="M21" s="42" t="str"/>
    </x:row>
    <x:row r="22" ht="54" customHeight="1">
      <x:c r="A22" s="42" t="str">
        <x:v>Add authorized CSV and report export</x:v>
      </x:c>
      <x:c r="B22" s="68" t="str">
        <x:v>Chandupa</x:v>
      </x:c>
      <x:c r="C22" s="68" t="str">
        <x:v>Medium</x:v>
      </x:c>
      <x:c r="D22" s="71" t="n">
        <x:v>46412</x:v>
      </x:c>
      <x:c r="E22" s="71" t="n">
        <x:v>46423</x:v>
      </x:c>
      <x:c r="F22" s="74"/>
      <x:c r="G22" s="68" t="str">
        <x:v>Not Started</x:v>
      </x:c>
      <x:c r="H22" s="68" t="str">
        <x:v>Months 4-5 - Analytics</x:v>
      </x:c>
      <x:c r="I22" s="68" t="str">
        <x:v>Modify Existing</x:v>
      </x:c>
      <x:c r="J22" s="42" t="str">
        <x:v>Exports AI scores with model version and explanation</x:v>
      </x:c>
      <x:c r="K22" s="42" t="str">
        <x:v>Export respects department access and clearly labels calculated and AI-derived fields.</x:v>
      </x:c>
      <x:c r="L22" s="42" t="str">
        <x:v>None</x:v>
      </x:c>
      <x:c r="M22" s="42" t="str"/>
    </x:row>
    <x:row r="23" ht="54" customHeight="1">
      <x:c r="A23" s="42" t="str">
        <x:v>Build the Incident Frequency Trends widget</x:v>
      </x:c>
      <x:c r="B23" s="68" t="str">
        <x:v>Kasun</x:v>
      </x:c>
      <x:c r="C23" s="68" t="str">
        <x:v>High</x:v>
      </x:c>
      <x:c r="D23" s="71" t="n">
        <x:v>46405</x:v>
      </x:c>
      <x:c r="E23" s="71" t="n">
        <x:v>46423</x:v>
      </x:c>
      <x:c r="F23" s="74"/>
      <x:c r="G23" s="68" t="str">
        <x:v>Not Started</x:v>
      </x:c>
      <x:c r="H23" s="68" t="str">
        <x:v>Months 4-5 - Analytics</x:v>
      </x:c>
      <x:c r="I23" s="68" t="str">
        <x:v>New Feature</x:v>
      </x:c>
      <x:c r="J23" s="42" t="str">
        <x:v>Uses time-series statistics and anomaly detection</x:v>
      </x:c>
      <x:c r="K23" s="42" t="str">
        <x:v>Manager can view daily, weekly, monthly, and quarterly trends filtered by category, severity, and location.</x:v>
      </x:c>
      <x:c r="L23" s="42" t="str">
        <x:v>None</x:v>
      </x:c>
      <x:c r="M23" s="42" t="str"/>
    </x:row>
    <x:row r="24" ht="54" customHeight="1">
      <x:c r="A24" s="42" t="str">
        <x:v>Build the Root Cause Distribution widget</x:v>
      </x:c>
      <x:c r="B24" s="68" t="str">
        <x:v>Kithsara</x:v>
      </x:c>
      <x:c r="C24" s="68" t="str">
        <x:v>High</x:v>
      </x:c>
      <x:c r="D24" s="71" t="n">
        <x:v>46412</x:v>
      </x:c>
      <x:c r="E24" s="71" t="n">
        <x:v>46430</x:v>
      </x:c>
      <x:c r="F24" s="74"/>
      <x:c r="G24" s="68" t="str">
        <x:v>Not Started</x:v>
      </x:c>
      <x:c r="H24" s="68" t="str">
        <x:v>Months 4-5 - Analytics</x:v>
      </x:c>
      <x:c r="I24" s="68" t="str">
        <x:v>New Feature</x:v>
      </x:c>
      <x:c r="J24" s="42" t="str">
        <x:v>Highlights frequent and emerging root-cause patterns</x:v>
      </x:c>
      <x:c r="K24" s="42" t="str">
        <x:v>Widget provides category and sub-category drill-down using approved root-cause data.</x:v>
      </x:c>
      <x:c r="L24" s="42" t="str">
        <x:v>None</x:v>
      </x:c>
      <x:c r="M24" s="42" t="str"/>
    </x:row>
    <x:row r="25" ht="54" customHeight="1">
      <x:c r="A25" s="42" t="str">
        <x:v>Build the Control Effectiveness Heatmap</x:v>
      </x:c>
      <x:c r="B25" s="68" t="str">
        <x:v>Chandupa</x:v>
      </x:c>
      <x:c r="C25" s="68" t="str">
        <x:v>High</x:v>
      </x:c>
      <x:c r="D25" s="71" t="n">
        <x:v>46419</x:v>
      </x:c>
      <x:c r="E25" s="71" t="n">
        <x:v>46434</x:v>
      </x:c>
      <x:c r="F25" s="74"/>
      <x:c r="G25" s="68" t="str">
        <x:v>Not Started</x:v>
      </x:c>
      <x:c r="H25" s="68" t="str">
        <x:v>Month 5 - AI</x:v>
      </x:c>
      <x:c r="I25" s="68" t="str">
        <x:v>New Feature</x:v>
      </x:c>
      <x:c r="J25" s="42" t="str">
        <x:v>Finds repeatedly ineffective control types</x:v>
      </x:c>
      <x:c r="K25" s="42" t="str">
        <x:v>Heatmap compares control type, effectiveness, department context, and incident frequency.</x:v>
      </x:c>
      <x:c r="L25" s="42" t="str">
        <x:v>None</x:v>
      </x:c>
      <x:c r="M25" s="42" t="str"/>
    </x:row>
    <x:row r="26" ht="54" customHeight="1">
      <x:c r="A26" s="42" t="str">
        <x:v>Build Time to Resolution analytics</x:v>
      </x:c>
      <x:c r="B26" s="68" t="str">
        <x:v>Kasun</x:v>
      </x:c>
      <x:c r="C26" s="68" t="str">
        <x:v>High</x:v>
      </x:c>
      <x:c r="D26" s="71" t="n">
        <x:v>46419</x:v>
      </x:c>
      <x:c r="E26" s="71" t="n">
        <x:v>46434</x:v>
      </x:c>
      <x:c r="F26" s="74"/>
      <x:c r="G26" s="68" t="str">
        <x:v>Not Started</x:v>
      </x:c>
      <x:c r="H26" s="68" t="str">
        <x:v>Month 5 - AI</x:v>
      </x:c>
      <x:c r="I26" s="68" t="str">
        <x:v>New Feature</x:v>
      </x:c>
      <x:c r="J26" s="42" t="str">
        <x:v>Detects resolution-time outliers and bottlenecks</x:v>
      </x:c>
      <x:c r="K26" s="42" t="str">
        <x:v>Manager can compare average and outlier resolution times by severity, category, and team.</x:v>
      </x:c>
      <x:c r="L26" s="42" t="str">
        <x:v>None</x:v>
      </x:c>
      <x:c r="M26" s="42" t="str"/>
    </x:row>
    <x:row r="27" ht="54" customHeight="1">
      <x:c r="A27" s="42" t="str">
        <x:v>Build Overdue Actions and Open Incident Ageing widgets</x:v>
      </x:c>
      <x:c r="B27" s="68" t="str">
        <x:v>Kithsara</x:v>
      </x:c>
      <x:c r="C27" s="68" t="str">
        <x:v>High</x:v>
      </x:c>
      <x:c r="D27" s="71" t="n">
        <x:v>46426</x:v>
      </x:c>
      <x:c r="E27" s="71" t="n">
        <x:v>46437</x:v>
      </x:c>
      <x:c r="F27" s="74"/>
      <x:c r="G27" s="68" t="str">
        <x:v>Not Started</x:v>
      </x:c>
      <x:c r="H27" s="68" t="str">
        <x:v>Month 5 - AI</x:v>
      </x:c>
      <x:c r="I27" s="68" t="str">
        <x:v>New Feature</x:v>
      </x:c>
      <x:c r="J27" s="42" t="str">
        <x:v>Uses SLA rules and due-date risk indicators</x:v>
      </x:c>
      <x:c r="K27" s="42" t="str">
        <x:v>Widgets show ageing and overdue items by owner, priority, severity, and SLA threshold.</x:v>
      </x:c>
      <x:c r="L27" s="42" t="str">
        <x:v>None</x:v>
      </x:c>
      <x:c r="M27" s="42" t="str"/>
    </x:row>
    <x:row r="28" ht="54" customHeight="1">
      <x:c r="A28" s="42" t="str">
        <x:v>Integrate Predictive Risk Scoring with explanation and human override</x:v>
      </x:c>
      <x:c r="B28" s="68" t="str">
        <x:v>Chandupa</x:v>
      </x:c>
      <x:c r="C28" s="68" t="str">
        <x:v>High</x:v>
      </x:c>
      <x:c r="D28" s="71" t="n">
        <x:v>46433</x:v>
      </x:c>
      <x:c r="E28" s="71" t="n">
        <x:v>46451</x:v>
      </x:c>
      <x:c r="F28" s="74"/>
      <x:c r="G28" s="68" t="str">
        <x:v>Not Started</x:v>
      </x:c>
      <x:c r="H28" s="68" t="str">
        <x:v>Months 5-6 - AI</x:v>
      </x:c>
      <x:c r="I28" s="68" t="str">
        <x:v>New Feature</x:v>
      </x:c>
      <x:c r="J28" s="42" t="str">
        <x:v>Predicts escalation, recurrence, and prolonged resolution</x:v>
      </x:c>
      <x:c r="K28" s="42" t="str">
        <x:v>Each score shows model version, key factors, confidence context, and a recorded Manager override option.</x:v>
      </x:c>
      <x:c r="L28" s="42" t="str">
        <x:v>Minimum viable historical dataset and model registry</x:v>
      </x:c>
      <x:c r="M28" s="42" t="str"/>
    </x:row>
    <x:row r="29" ht="54" customHeight="1">
      <x:c r="A29" s="42" t="str">
        <x:v>Build the Severity Accuracy Tracker</x:v>
      </x:c>
      <x:c r="B29" s="68" t="str">
        <x:v>Kasun</x:v>
      </x:c>
      <x:c r="C29" s="68" t="str">
        <x:v>Medium</x:v>
      </x:c>
      <x:c r="D29" s="71" t="n">
        <x:v>46440</x:v>
      </x:c>
      <x:c r="E29" s="71" t="n">
        <x:v>46451</x:v>
      </x:c>
      <x:c r="F29" s="74"/>
      <x:c r="G29" s="68" t="str">
        <x:v>Not Started</x:v>
      </x:c>
      <x:c r="H29" s="68" t="str">
        <x:v>Months 5-6 - AI</x:v>
      </x:c>
      <x:c r="I29" s="68" t="str">
        <x:v>New Feature</x:v>
      </x:c>
      <x:c r="J29" s="42" t="str">
        <x:v>Compares initial and final severity to improve triage</x:v>
      </x:c>
      <x:c r="K29" s="42" t="str">
        <x:v>Manager can view over-rating and under-rating patterns over time by category and department.</x:v>
      </x:c>
      <x:c r="L29" s="42" t="str">
        <x:v>None</x:v>
      </x:c>
      <x:c r="M29" s="42" t="str"/>
    </x:row>
    <x:row r="30" ht="54" customHeight="1">
      <x:c r="A30" s="42" t="str">
        <x:v>Show AI-recommended similar incidents, lessons, controls, and actions</x:v>
      </x:c>
      <x:c r="B30" s="68" t="str">
        <x:v>Kithsara</x:v>
      </x:c>
      <x:c r="C30" s="68" t="str">
        <x:v>High</x:v>
      </x:c>
      <x:c r="D30" s="71" t="n">
        <x:v>46440</x:v>
      </x:c>
      <x:c r="E30" s="71" t="n">
        <x:v>46458</x:v>
      </x:c>
      <x:c r="F30" s="74"/>
      <x:c r="G30" s="68" t="str">
        <x:v>Not Started</x:v>
      </x:c>
      <x:c r="H30" s="68" t="str">
        <x:v>Months 5-6 - AI</x:v>
      </x:c>
      <x:c r="I30" s="68" t="str">
        <x:v>New Feature</x:v>
      </x:c>
      <x:c r="J30" s="42" t="str">
        <x:v>Provides contextual recommendations during review</x:v>
      </x:c>
      <x:c r="K30" s="42" t="str">
        <x:v>Recommendations include relevance scores, source links, model version, and an option to accept or dismiss.</x:v>
      </x:c>
      <x:c r="L30" s="42" t="str">
        <x:v>None</x:v>
      </x:c>
      <x:c r="M30" s="42" t="str"/>
    </x:row>
    <x:row r="31" ht="54" customHeight="1">
      <x:c r="A31" s="42" t="str">
        <x:v>Create Manager workflow integration and regression tests</x:v>
      </x:c>
      <x:c r="B31" s="68" t="str">
        <x:v>Chandupa</x:v>
      </x:c>
      <x:c r="C31" s="68" t="str">
        <x:v>Critical</x:v>
      </x:c>
      <x:c r="D31" s="71" t="n">
        <x:v>46447</x:v>
      </x:c>
      <x:c r="E31" s="71" t="n">
        <x:v>46465</x:v>
      </x:c>
      <x:c r="F31" s="74"/>
      <x:c r="G31" s="68" t="str">
        <x:v>Not Started</x:v>
      </x:c>
      <x:c r="H31" s="68" t="str">
        <x:v>Month 6 - Validation</x:v>
      </x:c>
      <x:c r="I31" s="68" t="str">
        <x:v>Testing and Documentation</x:v>
      </x:c>
      <x:c r="J31" s="42" t="str">
        <x:v>Tests permissions and AI-assisted decision paths</x:v>
      </x:c>
      <x:c r="K31" s="42" t="str">
        <x:v>Automated tests cover valid and invalid state transitions, department boundaries, closure guards, and AI failures.</x:v>
      </x:c>
      <x:c r="L31" s="42" t="str">
        <x:v>None</x:v>
      </x:c>
      <x:c r="M31" s="42" t="str"/>
    </x:row>
    <x:row r="32" ht="54" customHeight="1">
      <x:c r="A32" s="43" t="str">
        <x:v>Complete Department Manager UAT and workflow documentation</x:v>
      </x:c>
      <x:c r="B32" s="69" t="str">
        <x:v>Kasun</x:v>
      </x:c>
      <x:c r="C32" s="69" t="str">
        <x:v>High</x:v>
      </x:c>
      <x:c r="D32" s="72" t="n">
        <x:v>46461</x:v>
      </x:c>
      <x:c r="E32" s="72" t="n">
        <x:v>46477</x:v>
      </x:c>
      <x:c r="F32" s="75"/>
      <x:c r="G32" s="69" t="str">
        <x:v>Not Started</x:v>
      </x:c>
      <x:c r="H32" s="69" t="str">
        <x:v>Month 6 - Deployment</x:v>
      </x:c>
      <x:c r="I32" s="69" t="str">
        <x:v>Testing and Documentation</x:v>
      </x:c>
      <x:c r="J32" s="43" t="str">
        <x:v>Documents AI interpretation and human accountability</x:v>
      </x:c>
      <x:c r="K32" s="43" t="str">
        <x:v>Managers approve the end-to-end lifecycle and receive role-specific operating guidance.</x:v>
      </x:c>
      <x:c r="L32" s="43" t="str">
        <x:v>None</x:v>
      </x:c>
      <x:c r="M32" s="43" t="str"/>
    </x:row>
  </x:sheetData>
  <x:mergeCells>
    <x:mergeCell ref="A2:M2"/>
  </x:mergeCells>
  <x:conditionalFormatting sqref="C5:C200">
    <x:cfRule type="containsText" dxfId="8" priority="1" operator="containsText" text="Critical"/>
    <x:cfRule type="containsText" dxfId="9" priority="2" operator="containsText" text="High"/>
    <x:cfRule type="containsText" dxfId="10" priority="3" operator="containsText" text="Medium"/>
    <x:cfRule type="containsText" dxfId="11" priority="4" operator="containsText" text="Low"/>
  </x:conditionalFormatting>
  <x:conditionalFormatting sqref="G5:G200">
    <x:cfRule type="containsText" dxfId="12" priority="5" operator="containsText" text="Completed"/>
    <x:cfRule type="containsText" dxfId="13" priority="6" operator="containsText" text="In Progress"/>
    <x:cfRule type="containsText" dxfId="14" priority="7" operator="containsText" text="Blocked"/>
    <x:cfRule type="containsText" dxfId="15" priority="8" operator="containsText" text="In Review"/>
  </x:conditionalFormatting>
  <x:dataValidations count="4">
    <x:dataValidation type="list" sqref="B5:B200">
      <x:formula1>"Kasun,Kithsara,Chandupa"</x:formula1>
    </x:dataValidation>
    <x:dataValidation type="list" sqref="C5:C200">
      <x:formula1>"Critical,High,Medium,Low"</x:formula1>
    </x:dataValidation>
    <x:dataValidation type="list" sqref="G5:G200">
      <x:formula1>"Not Started,In Progress,Blocked,In Review,Completed"</x:formula1>
    </x:dataValidation>
    <x:dataValidation type="list" sqref="I5:I200">
      <x:formula1>"Modify Existing,New Feature,Bug Fix,Research and Design,Testing and 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4a2b7a8394dc1"/>
  </x:tableParts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25" hidden="0" customWidth="1"/>
    <x:col min="9" max="9" width="24" hidden="0" customWidth="1"/>
    <x:col min="10" max="10" width="46" hidden="0" customWidth="1"/>
    <x:col min="11" max="11" width="58" hidden="0" customWidth="1"/>
    <x:col min="12" max="12" width="34" hidden="0" customWidth="1"/>
    <x:col min="13" max="13" width="28" hidden="0" customWidth="1"/>
  </x:cols>
  <x:sheetData>
    <x:row r="2">
      <x:c r="A2" s="89" t="str">
        <x:v>Investigator Delivery Plan</x:v>
      </x:c>
    </x:row>
    <x:row r="3">
      <x:c r="A3" s="52" t="str">
        <x:v>Tasks</x:v>
      </x:c>
      <x:c r="B3" s="53" t="n">
        <x:f>COUNTA(A5:A200)</x:f>
        <x:v>20</x:v>
      </x:c>
      <x:c r="C3" s="53" t="str">
        <x:v>Completed</x:v>
      </x:c>
      <x:c r="D3" s="53" t="n">
        <x:f>COUNTIF(G5:G200,"Completed")</x:f>
        <x:v>0</x:v>
      </x:c>
      <x:c r="E3" s="53" t="str">
        <x:v>Progress</x:v>
      </x:c>
      <x:c r="F3" s="54" t="n">
        <x:f>IF(B3=0,0,D3/B3)</x:f>
        <x:v>0</x:v>
      </x:c>
    </x:row>
    <x:row r="4" ht="34" customHeight="1">
      <x:c r="A4" s="101" t="str">
        <x:v>Task</x:v>
      </x:c>
      <x:c r="B4" s="102" t="str">
        <x:v>Assigned To</x:v>
      </x:c>
      <x:c r="C4" s="102" t="str">
        <x:v>Priority</x:v>
      </x:c>
      <x:c r="D4" s="102" t="str">
        <x:v>Start Date</x:v>
      </x:c>
      <x:c r="E4" s="102" t="str">
        <x:v>End Date</x:v>
      </x:c>
      <x:c r="F4" s="102" t="str">
        <x:v>Time Spent (Hours)</x:v>
      </x:c>
      <x:c r="G4" s="102" t="str">
        <x:v>Status</x:v>
      </x:c>
      <x:c r="H4" s="102" t="str">
        <x:v>Phase</x:v>
      </x:c>
      <x:c r="I4" s="102" t="str">
        <x:v>Change Type</x:v>
      </x:c>
      <x:c r="J4" s="102" t="str">
        <x:v>AI Integration</x:v>
      </x:c>
      <x:c r="K4" s="102" t="str">
        <x:v>Acceptance Criteria</x:v>
      </x:c>
      <x:c r="L4" s="102" t="str">
        <x:v>Dependencies</x:v>
      </x:c>
      <x:c r="M4" s="103" t="str">
        <x:v>Notes</x:v>
      </x:c>
    </x:row>
    <x:row r="5" ht="54" customHeight="1">
      <x:c r="A5" s="41" t="str">
        <x:v>Enforce assigned-investigator ownership on every investigation API</x:v>
      </x:c>
      <x:c r="B5" s="67" t="str">
        <x:v>Kasun</x:v>
      </x:c>
      <x:c r="C5" s="67" t="str">
        <x:v>Critical</x:v>
      </x:c>
      <x:c r="D5" s="70" t="n">
        <x:v>46296</x:v>
      </x:c>
      <x:c r="E5" s="70" t="n">
        <x:v>46307</x:v>
      </x:c>
      <x:c r="F5" s="73"/>
      <x:c r="G5" s="67" t="str">
        <x:v>Not Started</x:v>
      </x:c>
      <x:c r="H5" s="67" t="str">
        <x:v>Month 1 - Foundation</x:v>
      </x:c>
      <x:c r="I5" s="67" t="str">
        <x:v>Bug Fix</x:v>
      </x:c>
      <x:c r="J5" s="41" t="str">
        <x:v>Protects investigation data and role-specific AI results</x:v>
      </x:c>
      <x:c r="K5" s="41" t="str">
        <x:v>An Investigator can read or update only incidents assigned to the signed-in user.</x:v>
      </x:c>
      <x:c r="L5" s="41" t="str">
        <x:v>None</x:v>
      </x:c>
      <x:c r="M5" s="41" t="str"/>
    </x:row>
    <x:row r="6" ht="54" customHeight="1">
      <x:c r="A6" s="42" t="str">
        <x:v>Create the structured Investigation data model and migration</x:v>
      </x:c>
      <x:c r="B6" s="68" t="str">
        <x:v>Kithsara</x:v>
      </x:c>
      <x:c r="C6" s="68" t="str">
        <x:v>Critical</x:v>
      </x:c>
      <x:c r="D6" s="71" t="n">
        <x:v>46303</x:v>
      </x:c>
      <x:c r="E6" s="71" t="n">
        <x:v>46318</x:v>
      </x:c>
      <x:c r="F6" s="74"/>
      <x:c r="G6" s="68" t="str">
        <x:v>Not Started</x:v>
      </x:c>
      <x:c r="H6" s="68" t="str">
        <x:v>Month 1 - Foundation</x:v>
      </x:c>
      <x:c r="I6" s="68" t="str">
        <x:v>New Feature</x:v>
      </x:c>
      <x:c r="J6" s="42" t="str">
        <x:v>Creates reliable investigation features for AI analysis</x:v>
      </x:c>
      <x:c r="K6" s="42" t="str">
        <x:v>The model supports lead, team, dates, method, findings, factors, witnesses, evidence, and timeline.</x:v>
      </x:c>
      <x:c r="L6" s="42" t="str">
        <x:v>None</x:v>
      </x:c>
      <x:c r="M6" s="42" t="str"/>
    </x:row>
    <x:row r="7" ht="54" customHeight="1">
      <x:c r="A7" s="42" t="str">
        <x:v>Build the investigation workspace with save-draft capability</x:v>
      </x:c>
      <x:c r="B7" s="68" t="str">
        <x:v>Chandupa</x:v>
      </x:c>
      <x:c r="C7" s="68" t="str">
        <x:v>High</x:v>
      </x:c>
      <x:c r="D7" s="71" t="n">
        <x:v>46314</x:v>
      </x:c>
      <x:c r="E7" s="71" t="n">
        <x:v>46332</x:v>
      </x:c>
      <x:c r="F7" s="74"/>
      <x:c r="G7" s="68" t="str">
        <x:v>Not Started</x:v>
      </x:c>
      <x:c r="H7" s="68" t="str">
        <x:v>Months 1-2 - Investigation</x:v>
      </x:c>
      <x:c r="I7" s="68" t="str">
        <x:v>Modify Existing</x:v>
      </x:c>
      <x:c r="J7" s="42" t="str">
        <x:v>Provides the interface for AI-assisted investigation</x:v>
      </x:c>
      <x:c r="K7" s="42" t="str">
        <x:v>Assigned Investigator can save incomplete work without advancing the incident state.</x:v>
      </x:c>
      <x:c r="L7" s="42" t="str">
        <x:v>None</x:v>
      </x:c>
      <x:c r="M7" s="42" t="str"/>
    </x:row>
    <x:row r="8" ht="54" customHeight="1">
      <x:c r="A8" s="42" t="str">
        <x:v>Add investigation team member management</x:v>
      </x:c>
      <x:c r="B8" s="68" t="str">
        <x:v>Kasun</x:v>
      </x:c>
      <x:c r="C8" s="68" t="str">
        <x:v>Medium</x:v>
      </x:c>
      <x:c r="D8" s="71" t="n">
        <x:v>46328</x:v>
      </x:c>
      <x:c r="E8" s="71" t="n">
        <x:v>46339</x:v>
      </x:c>
      <x:c r="F8" s="74"/>
      <x:c r="G8" s="68" t="str">
        <x:v>Not Started</x:v>
      </x:c>
      <x:c r="H8" s="68" t="str">
        <x:v>Month 2 - Investigation</x:v>
      </x:c>
      <x:c r="I8" s="68" t="str">
        <x:v>New Feature</x:v>
      </x:c>
      <x:c r="J8" s="42" t="str">
        <x:v>Allows collaboration context for AI and audit records</x:v>
      </x:c>
      <x:c r="K8" s="42" t="str">
        <x:v>Lead Investigator can add eligible team members while access remains controlled.</x:v>
      </x:c>
      <x:c r="L8" s="42" t="str">
        <x:v>None</x:v>
      </x:c>
      <x:c r="M8" s="42" t="str"/>
    </x:row>
    <x:row r="9" ht="54" customHeight="1">
      <x:c r="A9" s="42" t="str">
        <x:v>Add investigation start date, end date, and method fields</x:v>
      </x:c>
      <x:c r="B9" s="68" t="str">
        <x:v>Kithsara</x:v>
      </x:c>
      <x:c r="C9" s="68" t="str">
        <x:v>High</x:v>
      </x:c>
      <x:c r="D9" s="71" t="n">
        <x:v>46335</x:v>
      </x:c>
      <x:c r="E9" s="71" t="n">
        <x:v>46346</x:v>
      </x:c>
      <x:c r="F9" s="74"/>
      <x:c r="G9" s="68" t="str">
        <x:v>Not Started</x:v>
      </x:c>
      <x:c r="H9" s="68" t="str">
        <x:v>Month 2 - Investigation</x:v>
      </x:c>
      <x:c r="I9" s="68" t="str">
        <x:v>New Feature</x:v>
      </x:c>
      <x:c r="J9" s="42" t="str">
        <x:v>Supports duration analytics and method recommendations</x:v>
      </x:c>
      <x:c r="K9" s="42" t="str">
        <x:v>Dates and approved methods are validated and included in the investigation record.</x:v>
      </x:c>
      <x:c r="L9" s="42" t="str">
        <x:v>None</x:v>
      </x:c>
      <x:c r="M9" s="42" t="str"/>
    </x:row>
    <x:row r="10" ht="54" customHeight="1">
      <x:c r="A10" s="42" t="str">
        <x:v>Add findings summary and contributing factors</x:v>
      </x:c>
      <x:c r="B10" s="68" t="str">
        <x:v>Chandupa</x:v>
      </x:c>
      <x:c r="C10" s="68" t="str">
        <x:v>High</x:v>
      </x:c>
      <x:c r="D10" s="71" t="n">
        <x:v>46342</x:v>
      </x:c>
      <x:c r="E10" s="71" t="n">
        <x:v>46353</x:v>
      </x:c>
      <x:c r="F10" s="74"/>
      <x:c r="G10" s="68" t="str">
        <x:v>Not Started</x:v>
      </x:c>
      <x:c r="H10" s="68" t="str">
        <x:v>Month 2 - Investigation</x:v>
      </x:c>
      <x:c r="I10" s="68" t="str">
        <x:v>New Feature</x:v>
      </x:c>
      <x:c r="J10" s="42" t="str">
        <x:v>Supplies structured data for clustering and prediction</x:v>
      </x:c>
      <x:c r="K10" s="42" t="str">
        <x:v>Investigator can record validated findings and multiple approved contributing factors.</x:v>
      </x:c>
      <x:c r="L10" s="42" t="str">
        <x:v>None</x:v>
      </x:c>
      <x:c r="M10" s="42" t="str"/>
    </x:row>
    <x:row r="11" ht="54" customHeight="1">
      <x:c r="A11" s="42" t="str">
        <x:v>Add witness records, evidence references, and timeline of events</x:v>
      </x:c>
      <x:c r="B11" s="68" t="str">
        <x:v>Kasun</x:v>
      </x:c>
      <x:c r="C11" s="68" t="str">
        <x:v>High</x:v>
      </x:c>
      <x:c r="D11" s="71" t="n">
        <x:v>46349</x:v>
      </x:c>
      <x:c r="E11" s="71" t="n">
        <x:v>46367</x:v>
      </x:c>
      <x:c r="F11" s="74"/>
      <x:c r="G11" s="68" t="str">
        <x:v>Not Started</x:v>
      </x:c>
      <x:c r="H11" s="68" t="str">
        <x:v>Months 2-3 - Investigation</x:v>
      </x:c>
      <x:c r="I11" s="68" t="str">
        <x:v>New Feature</x:v>
      </x:c>
      <x:c r="J11" s="42" t="str">
        <x:v>Provides source material for AI timeline and evidence summarization</x:v>
      </x:c>
      <x:c r="K11" s="42" t="str">
        <x:v>Investigator can add authorized witness references, files, and chronological events.</x:v>
      </x:c>
      <x:c r="L11" s="42" t="str">
        <x:v>None</x:v>
      </x:c>
      <x:c r="M11" s="42" t="str"/>
    </x:row>
    <x:row r="12" ht="54" customHeight="1">
      <x:c r="A12" s="42" t="str">
        <x:v>Create the complete Root Cause Analysis data model</x:v>
      </x:c>
      <x:c r="B12" s="68" t="str">
        <x:v>Kithsara</x:v>
      </x:c>
      <x:c r="C12" s="68" t="str">
        <x:v>Critical</x:v>
      </x:c>
      <x:c r="D12" s="71" t="n">
        <x:v>46357</x:v>
      </x:c>
      <x:c r="E12" s="71" t="n">
        <x:v>46374</x:v>
      </x:c>
      <x:c r="F12" s="74"/>
      <x:c r="G12" s="68" t="str">
        <x:v>Not Started</x:v>
      </x:c>
      <x:c r="H12" s="68" t="str">
        <x:v>Month 3 - Root Cause</x:v>
      </x:c>
      <x:c r="I12" s="68" t="str">
        <x:v>Modify Existing</x:v>
      </x:c>
      <x:c r="J12" s="42" t="str">
        <x:v>Creates structured training data for root-cause similarity</x:v>
      </x:c>
      <x:c r="K12" s="42" t="str">
        <x:v>Root cause stores category, sub-category, description, analysis method, and analysis detail.</x:v>
      </x:c>
      <x:c r="L12" s="42" t="str">
        <x:v>None</x:v>
      </x:c>
      <x:c r="M12" s="42" t="str"/>
    </x:row>
    <x:row r="13" ht="54" customHeight="1">
      <x:c r="A13" s="42" t="str">
        <x:v>Add systemic-issue flag and linked-incident relationships</x:v>
      </x:c>
      <x:c r="B13" s="68" t="str">
        <x:v>Chandupa</x:v>
      </x:c>
      <x:c r="C13" s="68" t="str">
        <x:v>High</x:v>
      </x:c>
      <x:c r="D13" s="71" t="n">
        <x:v>46370</x:v>
      </x:c>
      <x:c r="E13" s="71" t="n">
        <x:v>46380</x:v>
      </x:c>
      <x:c r="F13" s="74"/>
      <x:c r="G13" s="68" t="str">
        <x:v>Not Started</x:v>
      </x:c>
      <x:c r="H13" s="68" t="str">
        <x:v>Month 3 - Root Cause</x:v>
      </x:c>
      <x:c r="I13" s="68" t="str">
        <x:v>New Feature</x:v>
      </x:c>
      <x:c r="J13" s="42" t="str">
        <x:v>Enables recurrence detection and incident graph analysis</x:v>
      </x:c>
      <x:c r="K13" s="42" t="str">
        <x:v>Investigator can flag systemic issues and link authorized related incidents with reasons.</x:v>
      </x:c>
      <x:c r="L13" s="42" t="str">
        <x:v>None</x:v>
      </x:c>
      <x:c r="M13" s="42" t="str"/>
    </x:row>
    <x:row r="14" ht="54" customHeight="1">
      <x:c r="A14" s="42" t="str">
        <x:v>Implement investigation submission and Manager return-for-revision workflow</x:v>
      </x:c>
      <x:c r="B14" s="68" t="str">
        <x:v>Kasun</x:v>
      </x:c>
      <x:c r="C14" s="68" t="str">
        <x:v>Critical</x:v>
      </x:c>
      <x:c r="D14" s="71" t="n">
        <x:v>46377</x:v>
      </x:c>
      <x:c r="E14" s="71" t="n">
        <x:v>46395</x:v>
      </x:c>
      <x:c r="F14" s="74"/>
      <x:c r="G14" s="68" t="str">
        <x:v>Not Started</x:v>
      </x:c>
      <x:c r="H14" s="68" t="str">
        <x:v>Months 3-4 - Workflow</x:v>
      </x:c>
      <x:c r="I14" s="68" t="str">
        <x:v>New Feature</x:v>
      </x:c>
      <x:c r="J14" s="42" t="str">
        <x:v>Records human approval around AI-assisted findings</x:v>
      </x:c>
      <x:c r="K14" s="42" t="str">
        <x:v>Submission validates required fields, locks approved findings, and supports revision comments and resubmission.</x:v>
      </x:c>
      <x:c r="L14" s="42" t="str">
        <x:v>None</x:v>
      </x:c>
      <x:c r="M14" s="42" t="str"/>
    </x:row>
    <x:row r="15" ht="54" customHeight="1">
      <x:c r="A15" s="42" t="str">
        <x:v>Upgrade the Investigator dashboard with status, priority, and due-date filters</x:v>
      </x:c>
      <x:c r="B15" s="68" t="str">
        <x:v>Kithsara</x:v>
      </x:c>
      <x:c r="C15" s="68" t="str">
        <x:v>Medium</x:v>
      </x:c>
      <x:c r="D15" s="71" t="n">
        <x:v>46391</x:v>
      </x:c>
      <x:c r="E15" s="71" t="n">
        <x:v>46402</x:v>
      </x:c>
      <x:c r="F15" s="74"/>
      <x:c r="G15" s="68" t="str">
        <x:v>Not Started</x:v>
      </x:c>
      <x:c r="H15" s="68" t="str">
        <x:v>Month 4 - Analytics</x:v>
      </x:c>
      <x:c r="I15" s="68" t="str">
        <x:v>Modify Existing</x:v>
      </x:c>
      <x:c r="J15" s="42" t="str">
        <x:v>Prioritizes cases using permitted risk signals</x:v>
      </x:c>
      <x:c r="K15" s="42" t="str">
        <x:v>Dashboard lists only assigned work and supports search, status, severity, and due-date filters.</x:v>
      </x:c>
      <x:c r="L15" s="42" t="str">
        <x:v>None</x:v>
      </x:c>
      <x:c r="M15" s="42" t="str"/>
    </x:row>
    <x:row r="16" ht="54" customHeight="1">
      <x:c r="A16" s="42" t="str">
        <x:v>Build Similar Incidents search using text embeddings</x:v>
      </x:c>
      <x:c r="B16" s="68" t="str">
        <x:v>Chandupa</x:v>
      </x:c>
      <x:c r="C16" s="68" t="str">
        <x:v>High</x:v>
      </x:c>
      <x:c r="D16" s="71" t="n">
        <x:v>46405</x:v>
      </x:c>
      <x:c r="E16" s="71" t="n">
        <x:v>46423</x:v>
      </x:c>
      <x:c r="F16" s="74"/>
      <x:c r="G16" s="68" t="str">
        <x:v>Not Started</x:v>
      </x:c>
      <x:c r="H16" s="68" t="str">
        <x:v>Months 4-5 - AI</x:v>
      </x:c>
      <x:c r="I16" s="68" t="str">
        <x:v>New Feature</x:v>
      </x:c>
      <x:c r="J16" s="42" t="str">
        <x:v>Ranks historical incidents by description, category, location, and root cause</x:v>
      </x:c>
      <x:c r="K16" s="42" t="str">
        <x:v>Investigator receives a ranked list with similarity score, matched fields, and authorized source links.</x:v>
      </x:c>
      <x:c r="L16" s="42" t="str">
        <x:v>Clean historical lifecycle data</x:v>
      </x:c>
      <x:c r="M16" s="42" t="str"/>
    </x:row>
    <x:row r="17" ht="54" customHeight="1">
      <x:c r="A17" s="42" t="str">
        <x:v>Add a similar-root-cause comparison panel</x:v>
      </x:c>
      <x:c r="B17" s="68" t="str">
        <x:v>Kasun</x:v>
      </x:c>
      <x:c r="C17" s="68" t="str">
        <x:v>High</x:v>
      </x:c>
      <x:c r="D17" s="71" t="n">
        <x:v>46412</x:v>
      </x:c>
      <x:c r="E17" s="71" t="n">
        <x:v>46430</x:v>
      </x:c>
      <x:c r="F17" s="74"/>
      <x:c r="G17" s="68" t="str">
        <x:v>Not Started</x:v>
      </x:c>
      <x:c r="H17" s="68" t="str">
        <x:v>Months 4-5 - AI</x:v>
      </x:c>
      <x:c r="I17" s="68" t="str">
        <x:v>New Feature</x:v>
      </x:c>
      <x:c r="J17" s="42" t="str">
        <x:v>Surfaces repeated root causes and previous analysis methods</x:v>
      </x:c>
      <x:c r="K17" s="42" t="str">
        <x:v>Panel compares root-cause categories, descriptions, methods, controls, and outcomes.</x:v>
      </x:c>
      <x:c r="L17" s="42" t="str">
        <x:v>None</x:v>
      </x:c>
      <x:c r="M17" s="42" t="str"/>
    </x:row>
    <x:row r="18" ht="54" customHeight="1">
      <x:c r="A18" s="42" t="str">
        <x:v>Build the Incident Clustering Map</x:v>
      </x:c>
      <x:c r="B18" s="68" t="str">
        <x:v>Kithsara</x:v>
      </x:c>
      <x:c r="C18" s="68" t="str">
        <x:v>High</x:v>
      </x:c>
      <x:c r="D18" s="71" t="n">
        <x:v>46419</x:v>
      </x:c>
      <x:c r="E18" s="71" t="n">
        <x:v>46437</x:v>
      </x:c>
      <x:c r="F18" s="74"/>
      <x:c r="G18" s="68" t="str">
        <x:v>Not Started</x:v>
      </x:c>
      <x:c r="H18" s="68" t="str">
        <x:v>Month 5 - AI</x:v>
      </x:c>
      <x:c r="I18" s="68" t="str">
        <x:v>New Feature</x:v>
      </x:c>
      <x:c r="J18" s="42" t="str">
        <x:v>Groups incidents by latent category, location, and root-cause patterns</x:v>
      </x:c>
      <x:c r="K18" s="42" t="str">
        <x:v>Investigator can inspect clusters and open permitted incidents without exposing restricted data.</x:v>
      </x:c>
      <x:c r="L18" s="42" t="str">
        <x:v>None</x:v>
      </x:c>
      <x:c r="M18" s="42" t="str"/>
    </x:row>
    <x:row r="19" ht="54" customHeight="1">
      <x:c r="A19" s="42" t="str">
        <x:v>Add AI-assisted evidence and timeline summarization</x:v>
      </x:c>
      <x:c r="B19" s="68" t="str">
        <x:v>Chandupa</x:v>
      </x:c>
      <x:c r="C19" s="68" t="str">
        <x:v>Medium</x:v>
      </x:c>
      <x:c r="D19" s="71" t="n">
        <x:v>46426</x:v>
      </x:c>
      <x:c r="E19" s="71" t="n">
        <x:v>46441</x:v>
      </x:c>
      <x:c r="F19" s="74"/>
      <x:c r="G19" s="68" t="str">
        <x:v>Not Started</x:v>
      </x:c>
      <x:c r="H19" s="68" t="str">
        <x:v>Month 5 - AI</x:v>
      </x:c>
      <x:c r="I19" s="68" t="str">
        <x:v>New Feature</x:v>
      </x:c>
      <x:c r="J19" s="42" t="str">
        <x:v>Summarizes authorized evidence metadata and event chronology</x:v>
      </x:c>
      <x:c r="K19" s="42" t="str">
        <x:v>Generated summary is clearly labeled, source-linked, editable, and never overwrites Investigator findings.</x:v>
      </x:c>
      <x:c r="L19" s="42" t="str">
        <x:v>None</x:v>
      </x:c>
      <x:c r="M19" s="42" t="str"/>
    </x:row>
    <x:row r="20" ht="54" customHeight="1">
      <x:c r="A20" s="42" t="str">
        <x:v>Add AI suggestions for investigation method and contributing factors</x:v>
      </x:c>
      <x:c r="B20" s="68" t="str">
        <x:v>Kasun</x:v>
      </x:c>
      <x:c r="C20" s="68" t="str">
        <x:v>Medium</x:v>
      </x:c>
      <x:c r="D20" s="71" t="n">
        <x:v>46433</x:v>
      </x:c>
      <x:c r="E20" s="71" t="n">
        <x:v>46444</x:v>
      </x:c>
      <x:c r="F20" s="74"/>
      <x:c r="G20" s="68" t="str">
        <x:v>Not Started</x:v>
      </x:c>
      <x:c r="H20" s="68" t="str">
        <x:v>Month 5 - AI</x:v>
      </x:c>
      <x:c r="I20" s="68" t="str">
        <x:v>New Feature</x:v>
      </x:c>
      <x:c r="J20" s="42" t="str">
        <x:v>Suggests methods such as 5 Whys, Fishbone, Fault Tree, or Timeline Analysis</x:v>
      </x:c>
      <x:c r="K20" s="42" t="str">
        <x:v>Suggestions show reasons and require explicit Investigator selection or dismissal.</x:v>
      </x:c>
      <x:c r="L20" s="42" t="str">
        <x:v>None</x:v>
      </x:c>
      <x:c r="M20" s="42" t="str"/>
    </x:row>
    <x:row r="21" ht="54" customHeight="1">
      <x:c r="A21" s="42" t="str">
        <x:v>Add explainability, feedback, and human-override capture for Investigator AI</x:v>
      </x:c>
      <x:c r="B21" s="68" t="str">
        <x:v>Kithsara</x:v>
      </x:c>
      <x:c r="C21" s="68" t="str">
        <x:v>High</x:v>
      </x:c>
      <x:c r="D21" s="71" t="n">
        <x:v>46440</x:v>
      </x:c>
      <x:c r="E21" s="71" t="n">
        <x:v>46451</x:v>
      </x:c>
      <x:c r="F21" s="74"/>
      <x:c r="G21" s="68" t="str">
        <x:v>Not Started</x:v>
      </x:c>
      <x:c r="H21" s="68" t="str">
        <x:v>Months 5-6 - AI</x:v>
      </x:c>
      <x:c r="I21" s="68" t="str">
        <x:v>New Feature</x:v>
      </x:c>
      <x:c r="J21" s="42" t="str">
        <x:v>Collects relevance feedback for improving similarity and recommendation quality</x:v>
      </x:c>
      <x:c r="K21" s="42" t="str">
        <x:v>Every AI result shows explanation and model version and records accept, dismiss, or override feedback.</x:v>
      </x:c>
      <x:c r="L21" s="42" t="str">
        <x:v>None</x:v>
      </x:c>
      <x:c r="M21" s="42" t="str"/>
    </x:row>
    <x:row r="22" ht="54" customHeight="1">
      <x:c r="A22" s="42" t="str">
        <x:v>Create Investigator unit, authorization, and workflow tests</x:v>
      </x:c>
      <x:c r="B22" s="68" t="str">
        <x:v>Chandupa</x:v>
      </x:c>
      <x:c r="C22" s="68" t="str">
        <x:v>Critical</x:v>
      </x:c>
      <x:c r="D22" s="71" t="n">
        <x:v>46447</x:v>
      </x:c>
      <x:c r="E22" s="71" t="n">
        <x:v>46461</x:v>
      </x:c>
      <x:c r="F22" s="74"/>
      <x:c r="G22" s="68" t="str">
        <x:v>Not Started</x:v>
      </x:c>
      <x:c r="H22" s="68" t="str">
        <x:v>Month 6 - Validation</x:v>
      </x:c>
      <x:c r="I22" s="68" t="str">
        <x:v>Testing and Documentation</x:v>
      </x:c>
      <x:c r="J22" s="42" t="str">
        <x:v>Covers AI failure and fallback behavior</x:v>
      </x:c>
      <x:c r="K22" s="42" t="str">
        <x:v>Tests cover ownership, drafts, submissions, revisions, file access, similarity access, and invalid state transitions.</x:v>
      </x:c>
      <x:c r="L22" s="42" t="str">
        <x:v>None</x:v>
      </x:c>
      <x:c r="M22" s="42" t="str"/>
    </x:row>
    <x:row r="23" ht="54" customHeight="1">
      <x:c r="A23" s="42" t="str">
        <x:v>Run AI relevance evaluation with a reviewed incident sample</x:v>
      </x:c>
      <x:c r="B23" s="68" t="str">
        <x:v>Kasun</x:v>
      </x:c>
      <x:c r="C23" s="68" t="str">
        <x:v>High</x:v>
      </x:c>
      <x:c r="D23" s="71" t="n">
        <x:v>46454</x:v>
      </x:c>
      <x:c r="E23" s="71" t="n">
        <x:v>46465</x:v>
      </x:c>
      <x:c r="F23" s="74"/>
      <x:c r="G23" s="68" t="str">
        <x:v>Not Started</x:v>
      </x:c>
      <x:c r="H23" s="68" t="str">
        <x:v>Month 6 - Validation</x:v>
      </x:c>
      <x:c r="I23" s="68" t="str">
        <x:v>Testing and Documentation</x:v>
      </x:c>
      <x:c r="J23" s="42" t="str">
        <x:v>Measures Similar Incidents and recommendation usefulness</x:v>
      </x:c>
      <x:c r="K23" s="42" t="str">
        <x:v>Evaluation records precision-oriented relevance results, reviewer feedback, and known limitations.</x:v>
      </x:c>
      <x:c r="L23" s="42" t="str">
        <x:v>None</x:v>
      </x:c>
      <x:c r="M23" s="42" t="str"/>
    </x:row>
    <x:row r="24" ht="54" customHeight="1">
      <x:c r="A24" s="43" t="str">
        <x:v>Complete Investigator UAT, training, and role documentation</x:v>
      </x:c>
      <x:c r="B24" s="69" t="str">
        <x:v>Kithsara</x:v>
      </x:c>
      <x:c r="C24" s="69" t="str">
        <x:v>Medium</x:v>
      </x:c>
      <x:c r="D24" s="72" t="n">
        <x:v>46461</x:v>
      </x:c>
      <x:c r="E24" s="72" t="n">
        <x:v>46477</x:v>
      </x:c>
      <x:c r="F24" s="75"/>
      <x:c r="G24" s="69" t="str">
        <x:v>Not Started</x:v>
      </x:c>
      <x:c r="H24" s="69" t="str">
        <x:v>Month 6 - Deployment</x:v>
      </x:c>
      <x:c r="I24" s="69" t="str">
        <x:v>Testing and Documentation</x:v>
      </x:c>
      <x:c r="J24" s="43" t="str">
        <x:v>Explains responsible use of AI suggestions</x:v>
      </x:c>
      <x:c r="K24" s="43" t="str">
        <x:v>Investigators approve the workflow and receive investigation, privacy, and AI-use guidance.</x:v>
      </x:c>
      <x:c r="L24" s="43" t="str">
        <x:v>None</x:v>
      </x:c>
      <x:c r="M24" s="43" t="str"/>
    </x:row>
  </x:sheetData>
  <x:mergeCells>
    <x:mergeCell ref="A2:M2"/>
  </x:mergeCells>
  <x:conditionalFormatting sqref="C5:C200">
    <x:cfRule type="containsText" dxfId="16" priority="1" operator="containsText" text="Critical"/>
    <x:cfRule type="containsText" dxfId="17" priority="2" operator="containsText" text="High"/>
    <x:cfRule type="containsText" dxfId="18" priority="3" operator="containsText" text="Medium"/>
    <x:cfRule type="containsText" dxfId="19" priority="4" operator="containsText" text="Low"/>
  </x:conditionalFormatting>
  <x:conditionalFormatting sqref="G5:G200">
    <x:cfRule type="containsText" dxfId="20" priority="5" operator="containsText" text="Completed"/>
    <x:cfRule type="containsText" dxfId="21" priority="6" operator="containsText" text="In Progress"/>
    <x:cfRule type="containsText" dxfId="22" priority="7" operator="containsText" text="Blocked"/>
    <x:cfRule type="containsText" dxfId="23" priority="8" operator="containsText" text="In Review"/>
  </x:conditionalFormatting>
  <x:dataValidations count="4">
    <x:dataValidation type="list" sqref="B5:B200">
      <x:formula1>"Kasun,Kithsara,Chandupa"</x:formula1>
    </x:dataValidation>
    <x:dataValidation type="list" sqref="C5:C200">
      <x:formula1>"Critical,High,Medium,Low"</x:formula1>
    </x:dataValidation>
    <x:dataValidation type="list" sqref="G5:G200">
      <x:formula1>"Not Started,In Progress,Blocked,In Review,Completed"</x:formula1>
    </x:dataValidation>
    <x:dataValidation type="list" sqref="I5:I200">
      <x:formula1>"Modify Existing,New Feature,Bug Fix,Research and Design,Testing and 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c9d73b7ab4847"/>
  </x:tableParts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25" hidden="0" customWidth="1"/>
    <x:col min="9" max="9" width="24" hidden="0" customWidth="1"/>
    <x:col min="10" max="10" width="46" hidden="0" customWidth="1"/>
    <x:col min="11" max="11" width="58" hidden="0" customWidth="1"/>
    <x:col min="12" max="12" width="34" hidden="0" customWidth="1"/>
    <x:col min="13" max="13" width="28" hidden="0" customWidth="1"/>
  </x:cols>
  <x:sheetData>
    <x:row r="2">
      <x:c r="A2" s="104" t="str">
        <x:v>Action Owner Delivery Plan</x:v>
      </x:c>
    </x:row>
    <x:row r="3">
      <x:c r="A3" s="52" t="str">
        <x:v>Tasks</x:v>
      </x:c>
      <x:c r="B3" s="53" t="n">
        <x:f>COUNTA(A5:A200)</x:f>
        <x:v>20</x:v>
      </x:c>
      <x:c r="C3" s="53" t="str">
        <x:v>Completed</x:v>
      </x:c>
      <x:c r="D3" s="53" t="n">
        <x:f>COUNTIF(G5:G200,"Completed")</x:f>
        <x:v>0</x:v>
      </x:c>
      <x:c r="E3" s="53" t="str">
        <x:v>Progress</x:v>
      </x:c>
      <x:c r="F3" s="54" t="n">
        <x:f>IF(B3=0,0,D3/B3)</x:f>
        <x:v>0</x:v>
      </x:c>
    </x:row>
    <x:row r="4" ht="34" customHeight="1">
      <x:c r="A4" s="116" t="str">
        <x:v>Task</x:v>
      </x:c>
      <x:c r="B4" s="117" t="str">
        <x:v>Assigned To</x:v>
      </x:c>
      <x:c r="C4" s="117" t="str">
        <x:v>Priority</x:v>
      </x:c>
      <x:c r="D4" s="117" t="str">
        <x:v>Start Date</x:v>
      </x:c>
      <x:c r="E4" s="117" t="str">
        <x:v>End Date</x:v>
      </x:c>
      <x:c r="F4" s="117" t="str">
        <x:v>Time Spent (Hours)</x:v>
      </x:c>
      <x:c r="G4" s="117" t="str">
        <x:v>Status</x:v>
      </x:c>
      <x:c r="H4" s="117" t="str">
        <x:v>Phase</x:v>
      </x:c>
      <x:c r="I4" s="117" t="str">
        <x:v>Change Type</x:v>
      </x:c>
      <x:c r="J4" s="117" t="str">
        <x:v>AI Integration</x:v>
      </x:c>
      <x:c r="K4" s="117" t="str">
        <x:v>Acceptance Criteria</x:v>
      </x:c>
      <x:c r="L4" s="117" t="str">
        <x:v>Dependencies</x:v>
      </x:c>
      <x:c r="M4" s="118" t="str">
        <x:v>Notes</x:v>
      </x:c>
    </x:row>
    <x:row r="5" ht="54" customHeight="1">
      <x:c r="A5" s="41" t="str">
        <x:v>Enforce assigned-action ownership on every Action Owner API</x:v>
      </x:c>
      <x:c r="B5" s="67" t="str">
        <x:v>Kasun</x:v>
      </x:c>
      <x:c r="C5" s="67" t="str">
        <x:v>Critical</x:v>
      </x:c>
      <x:c r="D5" s="70" t="n">
        <x:v>46296</x:v>
      </x:c>
      <x:c r="E5" s="70" t="n">
        <x:v>46307</x:v>
      </x:c>
      <x:c r="F5" s="73"/>
      <x:c r="G5" s="67" t="str">
        <x:v>Not Started</x:v>
      </x:c>
      <x:c r="H5" s="67" t="str">
        <x:v>Month 1 - Foundation</x:v>
      </x:c>
      <x:c r="I5" s="67" t="str">
        <x:v>Bug Fix</x:v>
      </x:c>
      <x:c r="J5" s="41" t="str">
        <x:v>Restricts action-related AI suggestions to the assigned owner</x:v>
      </x:c>
      <x:c r="K5" s="41" t="str">
        <x:v>An Action Owner can read and update only explicitly assigned action items.</x:v>
      </x:c>
      <x:c r="L5" s="41" t="str">
        <x:v>None</x:v>
      </x:c>
      <x:c r="M5" s="41" t="str"/>
    </x:row>
    <x:row r="6" ht="54" customHeight="1">
      <x:c r="A6" s="42" t="str">
        <x:v>Create the multiple-action data model and migration</x:v>
      </x:c>
      <x:c r="B6" s="68" t="str">
        <x:v>Kithsara</x:v>
      </x:c>
      <x:c r="C6" s="68" t="str">
        <x:v>Critical</x:v>
      </x:c>
      <x:c r="D6" s="71" t="n">
        <x:v>46303</x:v>
      </x:c>
      <x:c r="E6" s="71" t="n">
        <x:v>46318</x:v>
      </x:c>
      <x:c r="F6" s="74"/>
      <x:c r="G6" s="68" t="str">
        <x:v>Not Started</x:v>
      </x:c>
      <x:c r="H6" s="68" t="str">
        <x:v>Month 1 - Foundation</x:v>
      </x:c>
      <x:c r="I6" s="68" t="str">
        <x:v>New Feature</x:v>
      </x:c>
      <x:c r="J6" s="42" t="str">
        <x:v>Provides structured action data for similarity and effectiveness models</x:v>
      </x:c>
      <x:c r="K6" s="42" t="str">
        <x:v>Each incident supports multiple action records with unique IDs and relationships.</x:v>
      </x:c>
      <x:c r="L6" s="42" t="str">
        <x:v>None</x:v>
      </x:c>
      <x:c r="M6" s="42" t="str"/>
    </x:row>
    <x:row r="7" ht="54" customHeight="1">
      <x:c r="A7" s="42" t="str">
        <x:v>Add action description, type, priority, owner, and due date</x:v>
      </x:c>
      <x:c r="B7" s="68" t="str">
        <x:v>Chandupa</x:v>
      </x:c>
      <x:c r="C7" s="68" t="str">
        <x:v>Critical</x:v>
      </x:c>
      <x:c r="D7" s="71" t="n">
        <x:v>46314</x:v>
      </x:c>
      <x:c r="E7" s="71" t="n">
        <x:v>46332</x:v>
      </x:c>
      <x:c r="F7" s="74"/>
      <x:c r="G7" s="68" t="str">
        <x:v>Not Started</x:v>
      </x:c>
      <x:c r="H7" s="68" t="str">
        <x:v>Months 1-2 - Actions</x:v>
      </x:c>
      <x:c r="I7" s="68" t="str">
        <x:v>Modify Existing</x:v>
      </x:c>
      <x:c r="J7" s="42" t="str">
        <x:v>Creates features for overdue and risk prediction</x:v>
      </x:c>
      <x:c r="K7" s="42" t="str">
        <x:v>Every action validates Immediate, Corrective, or Preventive type, priority, owner, and due date.</x:v>
      </x:c>
      <x:c r="L7" s="42" t="str">
        <x:v>None</x:v>
      </x:c>
      <x:c r="M7" s="42" t="str"/>
    </x:row>
    <x:row r="8" ht="54" customHeight="1">
      <x:c r="A8" s="42" t="str">
        <x:v>Build the Action Owner dashboard for assigned work</x:v>
      </x:c>
      <x:c r="B8" s="68" t="str">
        <x:v>Kasun</x:v>
      </x:c>
      <x:c r="C8" s="68" t="str">
        <x:v>High</x:v>
      </x:c>
      <x:c r="D8" s="71" t="n">
        <x:v>46328</x:v>
      </x:c>
      <x:c r="E8" s="71" t="n">
        <x:v>46342</x:v>
      </x:c>
      <x:c r="F8" s="74"/>
      <x:c r="G8" s="68" t="str">
        <x:v>Not Started</x:v>
      </x:c>
      <x:c r="H8" s="68" t="str">
        <x:v>Month 2 - Actions</x:v>
      </x:c>
      <x:c r="I8" s="68" t="str">
        <x:v>Modify Existing</x:v>
      </x:c>
      <x:c r="J8" s="42" t="str">
        <x:v>Shows AI-ranked urgency and due-date risk</x:v>
      </x:c>
      <x:c r="K8" s="42" t="str">
        <x:v>Dashboard displays only assigned actions with incident context, priority, due date, status, and search filters.</x:v>
      </x:c>
      <x:c r="L8" s="42" t="str">
        <x:v>None</x:v>
      </x:c>
      <x:c r="M8" s="42" t="str"/>
    </x:row>
    <x:row r="9" ht="54" customHeight="1">
      <x:c r="A9" s="42" t="str">
        <x:v>Build action detail and progress-update screens</x:v>
      </x:c>
      <x:c r="B9" s="68" t="str">
        <x:v>Kithsara</x:v>
      </x:c>
      <x:c r="C9" s="68" t="str">
        <x:v>High</x:v>
      </x:c>
      <x:c r="D9" s="71" t="n">
        <x:v>46335</x:v>
      </x:c>
      <x:c r="E9" s="71" t="n">
        <x:v>46349</x:v>
      </x:c>
      <x:c r="F9" s="74"/>
      <x:c r="G9" s="68" t="str">
        <x:v>Not Started</x:v>
      </x:c>
      <x:c r="H9" s="68" t="str">
        <x:v>Month 2 - Actions</x:v>
      </x:c>
      <x:c r="I9" s="68" t="str">
        <x:v>New Feature</x:v>
      </x:c>
      <x:c r="J9" s="42" t="str">
        <x:v>Displays relevant AI recommendations beside the action</x:v>
      </x:c>
      <x:c r="K9" s="42" t="str">
        <x:v>Owner can update Not Started, In Progress, and Completed states with required notes.</x:v>
      </x:c>
      <x:c r="L9" s="42" t="str">
        <x:v>None</x:v>
      </x:c>
      <x:c r="M9" s="42" t="str"/>
    </x:row>
    <x:row r="10" ht="54" customHeight="1">
      <x:c r="A10" s="42" t="str">
        <x:v>Add completion date and automatic overdue-state calculation</x:v>
      </x:c>
      <x:c r="B10" s="68" t="str">
        <x:v>Chandupa</x:v>
      </x:c>
      <x:c r="C10" s="68" t="str">
        <x:v>High</x:v>
      </x:c>
      <x:c r="D10" s="71" t="n">
        <x:v>46342</x:v>
      </x:c>
      <x:c r="E10" s="71" t="n">
        <x:v>46353</x:v>
      </x:c>
      <x:c r="F10" s="74"/>
      <x:c r="G10" s="68" t="str">
        <x:v>Not Started</x:v>
      </x:c>
      <x:c r="H10" s="68" t="str">
        <x:v>Month 2 - Actions</x:v>
      </x:c>
      <x:c r="I10" s="68" t="str">
        <x:v>New Feature</x:v>
      </x:c>
      <x:c r="J10" s="42" t="str">
        <x:v>Feeds overdue analytics and completion-risk models</x:v>
      </x:c>
      <x:c r="K10" s="42" t="str">
        <x:v>Completion date is captured and overdue state derives from due date and status.</x:v>
      </x:c>
      <x:c r="L10" s="42" t="str">
        <x:v>None</x:v>
      </x:c>
      <x:c r="M10" s="42" t="str"/>
    </x:row>
    <x:row r="11" ht="54" customHeight="1">
      <x:c r="A11" s="42" t="str">
        <x:v>Add action evidence attachments and secure viewing</x:v>
      </x:c>
      <x:c r="B11" s="68" t="str">
        <x:v>Kasun</x:v>
      </x:c>
      <x:c r="C11" s="68" t="str">
        <x:v>High</x:v>
      </x:c>
      <x:c r="D11" s="71" t="n">
        <x:v>46349</x:v>
      </x:c>
      <x:c r="E11" s="71" t="n">
        <x:v>46360</x:v>
      </x:c>
      <x:c r="F11" s="74"/>
      <x:c r="G11" s="68" t="str">
        <x:v>Not Started</x:v>
      </x:c>
      <x:c r="H11" s="68" t="str">
        <x:v>Months 2-3 - Actions</x:v>
      </x:c>
      <x:c r="I11" s="68" t="str">
        <x:v>New Feature</x:v>
      </x:c>
      <x:c r="J11" s="42" t="str">
        <x:v>Provides evidence metadata for AI effectiveness review</x:v>
      </x:c>
      <x:c r="K11" s="42" t="str">
        <x:v>Owner can upload approved files and authorized reviewers can view them securely.</x:v>
      </x:c>
      <x:c r="L11" s="42" t="str">
        <x:v>None</x:v>
      </x:c>
      <x:c r="M11" s="42" t="str"/>
    </x:row>
    <x:row r="12" ht="54" customHeight="1">
      <x:c r="A12" s="42" t="str">
        <x:v>Add verification notes and action-effectiveness assessment</x:v>
      </x:c>
      <x:c r="B12" s="68" t="str">
        <x:v>Kithsara</x:v>
      </x:c>
      <x:c r="C12" s="68" t="str">
        <x:v>Critical</x:v>
      </x:c>
      <x:c r="D12" s="71" t="n">
        <x:v>46357</x:v>
      </x:c>
      <x:c r="E12" s="71" t="n">
        <x:v>46371</x:v>
      </x:c>
      <x:c r="F12" s="74"/>
      <x:c r="G12" s="68" t="str">
        <x:v>Not Started</x:v>
      </x:c>
      <x:c r="H12" s="68" t="str">
        <x:v>Month 3 - Actions</x:v>
      </x:c>
      <x:c r="I12" s="68" t="str">
        <x:v>New Feature</x:v>
      </x:c>
      <x:c r="J12" s="42" t="str">
        <x:v>Creates labels for action-effectiveness analytics</x:v>
      </x:c>
      <x:c r="K12" s="42" t="str">
        <x:v>Completion requires verification notes and supports Manager-verified effectiveness status.</x:v>
      </x:c>
      <x:c r="L12" s="42" t="str">
        <x:v>None</x:v>
      </x:c>
      <x:c r="M12" s="42" t="str"/>
    </x:row>
    <x:row r="13" ht="54" customHeight="1">
      <x:c r="A13" s="42" t="str">
        <x:v>Prevent incident review until all required actions are completed</x:v>
      </x:c>
      <x:c r="B13" s="68" t="str">
        <x:v>Chandupa</x:v>
      </x:c>
      <x:c r="C13" s="68" t="str">
        <x:v>Critical</x:v>
      </x:c>
      <x:c r="D13" s="71" t="n">
        <x:v>46363</x:v>
      </x:c>
      <x:c r="E13" s="71" t="n">
        <x:v>46374</x:v>
      </x:c>
      <x:c r="F13" s="74"/>
      <x:c r="G13" s="68" t="str">
        <x:v>Not Started</x:v>
      </x:c>
      <x:c r="H13" s="68" t="str">
        <x:v>Month 3 - Workflow Control</x:v>
      </x:c>
      <x:c r="I13" s="68" t="str">
        <x:v>Bug Fix</x:v>
      </x:c>
      <x:c r="J13" s="42" t="str">
        <x:v>Prevents incomplete action data from reaching AI closure analysis</x:v>
      </x:c>
      <x:c r="K13" s="42" t="str">
        <x:v>The API rejects review while any required action is incomplete or unverified.</x:v>
      </x:c>
      <x:c r="L13" s="42" t="str">
        <x:v>None</x:v>
      </x:c>
      <x:c r="M13" s="42" t="str"/>
    </x:row>
    <x:row r="14" ht="54" customHeight="1">
      <x:c r="A14" s="42" t="str">
        <x:v>Add action-return and revision workflow</x:v>
      </x:c>
      <x:c r="B14" s="68" t="str">
        <x:v>Kasun</x:v>
      </x:c>
      <x:c r="C14" s="68" t="str">
        <x:v>High</x:v>
      </x:c>
      <x:c r="D14" s="71" t="n">
        <x:v>46370</x:v>
      </x:c>
      <x:c r="E14" s="71" t="n">
        <x:v>46380</x:v>
      </x:c>
      <x:c r="F14" s="74"/>
      <x:c r="G14" s="68" t="str">
        <x:v>Not Started</x:v>
      </x:c>
      <x:c r="H14" s="68" t="str">
        <x:v>Month 3 - Workflow Control</x:v>
      </x:c>
      <x:c r="I14" s="68" t="str">
        <x:v>New Feature</x:v>
      </x:c>
      <x:c r="J14" s="42" t="str">
        <x:v>Records reasons when AI or Manager review finds insufficient action</x:v>
      </x:c>
      <x:c r="K14" s="42" t="str">
        <x:v>Manager can return an action with comments and owner can revise and resubmit.</x:v>
      </x:c>
      <x:c r="L14" s="42" t="str">
        <x:v>None</x:v>
      </x:c>
      <x:c r="M14" s="42" t="str"/>
    </x:row>
    <x:row r="15" ht="54" customHeight="1">
      <x:c r="A15" s="42" t="str">
        <x:v>Implement overdue and escalation notifications</x:v>
      </x:c>
      <x:c r="B15" s="68" t="str">
        <x:v>Kithsara</x:v>
      </x:c>
      <x:c r="C15" s="68" t="str">
        <x:v>High</x:v>
      </x:c>
      <x:c r="D15" s="71" t="n">
        <x:v>46391</x:v>
      </x:c>
      <x:c r="E15" s="71" t="n">
        <x:v>46402</x:v>
      </x:c>
      <x:c r="F15" s="74"/>
      <x:c r="G15" s="68" t="str">
        <x:v>Not Started</x:v>
      </x:c>
      <x:c r="H15" s="68" t="str">
        <x:v>Month 4 - Analytics</x:v>
      </x:c>
      <x:c r="I15" s="68" t="str">
        <x:v>New Feature</x:v>
      </x:c>
      <x:c r="J15" s="42" t="str">
        <x:v>Uses SLA and predicted completion risk</x:v>
      </x:c>
      <x:c r="K15" s="42" t="str">
        <x:v>Owner receives in-app notifications before due date and when an action becomes overdue.</x:v>
      </x:c>
      <x:c r="L15" s="42" t="str">
        <x:v>None</x:v>
      </x:c>
      <x:c r="M15" s="42" t="str"/>
    </x:row>
    <x:row r="16" ht="54" customHeight="1">
      <x:c r="A16" s="42" t="str">
        <x:v>Build action history and audit timeline</x:v>
      </x:c>
      <x:c r="B16" s="68" t="str">
        <x:v>Chandupa</x:v>
      </x:c>
      <x:c r="C16" s="68" t="str">
        <x:v>Medium</x:v>
      </x:c>
      <x:c r="D16" s="71" t="n">
        <x:v>46398</x:v>
      </x:c>
      <x:c r="E16" s="71" t="n">
        <x:v>46409</x:v>
      </x:c>
      <x:c r="F16" s="74"/>
      <x:c r="G16" s="68" t="str">
        <x:v>Not Started</x:v>
      </x:c>
      <x:c r="H16" s="68" t="str">
        <x:v>Month 4 - Analytics</x:v>
      </x:c>
      <x:c r="I16" s="68" t="str">
        <x:v>New Feature</x:v>
      </x:c>
      <x:c r="J16" s="42" t="str">
        <x:v>Shows AI suggestions and owner decisions over time</x:v>
      </x:c>
      <x:c r="K16" s="42" t="str">
        <x:v>Action page shows status, assignment, date, evidence, review, and recommendation events in order.</x:v>
      </x:c>
      <x:c r="L16" s="42" t="str">
        <x:v>None</x:v>
      </x:c>
      <x:c r="M16" s="42" t="str"/>
    </x:row>
    <x:row r="17" ht="54" customHeight="1">
      <x:c r="A17" s="42" t="str">
        <x:v>Build Similar Actions Analysis using embeddings and clustering</x:v>
      </x:c>
      <x:c r="B17" s="68" t="str">
        <x:v>Kasun</x:v>
      </x:c>
      <x:c r="C17" s="68" t="str">
        <x:v>High</x:v>
      </x:c>
      <x:c r="D17" s="71" t="n">
        <x:v>46405</x:v>
      </x:c>
      <x:c r="E17" s="71" t="n">
        <x:v>46423</x:v>
      </x:c>
      <x:c r="F17" s="74"/>
      <x:c r="G17" s="68" t="str">
        <x:v>Not Started</x:v>
      </x:c>
      <x:c r="H17" s="68" t="str">
        <x:v>Months 4-5 - AI</x:v>
      </x:c>
      <x:c r="I17" s="68" t="str">
        <x:v>New Feature</x:v>
      </x:c>
      <x:c r="J17" s="42" t="str">
        <x:v>Finds repeated corrective measures across incidents</x:v>
      </x:c>
      <x:c r="K17" s="42" t="str">
        <x:v>Owner sees authorized similar actions, completion rates, effectiveness, and relevance scores.</x:v>
      </x:c>
      <x:c r="L17" s="42" t="str">
        <x:v>Multiple structured action records</x:v>
      </x:c>
      <x:c r="M17" s="42" t="str"/>
    </x:row>
    <x:row r="18" ht="54" customHeight="1">
      <x:c r="A18" s="42" t="str">
        <x:v>Highlight recurring fixes with poor effectiveness</x:v>
      </x:c>
      <x:c r="B18" s="68" t="str">
        <x:v>Kithsara</x:v>
      </x:c>
      <x:c r="C18" s="68" t="str">
        <x:v>High</x:v>
      </x:c>
      <x:c r="D18" s="71" t="n">
        <x:v>46412</x:v>
      </x:c>
      <x:c r="E18" s="71" t="n">
        <x:v>46430</x:v>
      </x:c>
      <x:c r="F18" s="74"/>
      <x:c r="G18" s="68" t="str">
        <x:v>Not Started</x:v>
      </x:c>
      <x:c r="H18" s="68" t="str">
        <x:v>Months 4-5 - AI</x:v>
      </x:c>
      <x:c r="I18" s="68" t="str">
        <x:v>New Feature</x:v>
      </x:c>
      <x:c r="J18" s="42" t="str">
        <x:v>Signals when repeated actions are not preventing recurrence</x:v>
      </x:c>
      <x:c r="K18" s="42" t="str">
        <x:v>The system identifies repeated low-effectiveness actions and explains the supporting history.</x:v>
      </x:c>
      <x:c r="L18" s="42" t="str">
        <x:v>None</x:v>
      </x:c>
      <x:c r="M18" s="42" t="str"/>
    </x:row>
    <x:row r="19" ht="54" customHeight="1">
      <x:c r="A19" s="42" t="str">
        <x:v>Add AI recommendations for effective actions and controls</x:v>
      </x:c>
      <x:c r="B19" s="68" t="str">
        <x:v>Chandupa</x:v>
      </x:c>
      <x:c r="C19" s="68" t="str">
        <x:v>High</x:v>
      </x:c>
      <x:c r="D19" s="71" t="n">
        <x:v>46419</x:v>
      </x:c>
      <x:c r="E19" s="71" t="n">
        <x:v>46437</x:v>
      </x:c>
      <x:c r="F19" s="74"/>
      <x:c r="G19" s="68" t="str">
        <x:v>Not Started</x:v>
      </x:c>
      <x:c r="H19" s="68" t="str">
        <x:v>Month 5 - AI</x:v>
      </x:c>
      <x:c r="I19" s="68" t="str">
        <x:v>New Feature</x:v>
      </x:c>
      <x:c r="J19" s="42" t="str">
        <x:v>Suggests actions and controls from relevant successful incidents</x:v>
      </x:c>
      <x:c r="K19" s="42" t="str">
        <x:v>Recommendations include source incidents, effectiveness evidence, and accept or dismiss feedback.</x:v>
      </x:c>
      <x:c r="L19" s="42" t="str">
        <x:v>None</x:v>
      </x:c>
      <x:c r="M19" s="42" t="str"/>
    </x:row>
    <x:row r="20" ht="54" customHeight="1">
      <x:c r="A20" s="42" t="str">
        <x:v>Add due-date completion-risk prediction</x:v>
      </x:c>
      <x:c r="B20" s="68" t="str">
        <x:v>Kasun</x:v>
      </x:c>
      <x:c r="C20" s="68" t="str">
        <x:v>Medium</x:v>
      </x:c>
      <x:c r="D20" s="71" t="n">
        <x:v>46426</x:v>
      </x:c>
      <x:c r="E20" s="71" t="n">
        <x:v>46441</x:v>
      </x:c>
      <x:c r="F20" s="74"/>
      <x:c r="G20" s="68" t="str">
        <x:v>Not Started</x:v>
      </x:c>
      <x:c r="H20" s="68" t="str">
        <x:v>Month 5 - AI</x:v>
      </x:c>
      <x:c r="I20" s="68" t="str">
        <x:v>New Feature</x:v>
      </x:c>
      <x:c r="J20" s="42" t="str">
        <x:v>Predicts actions likely to miss their due dates</x:v>
      </x:c>
      <x:c r="K20" s="42" t="str">
        <x:v>Risk indicator includes factors, model version, and no automatic status change.</x:v>
      </x:c>
      <x:c r="L20" s="42" t="str">
        <x:v>None</x:v>
      </x:c>
      <x:c r="M20" s="42" t="str"/>
    </x:row>
    <x:row r="21" ht="54" customHeight="1">
      <x:c r="A21" s="42" t="str">
        <x:v>Build Action Effectiveness scoring and outcome feedback</x:v>
      </x:c>
      <x:c r="B21" s="68" t="str">
        <x:v>Kithsara</x:v>
      </x:c>
      <x:c r="C21" s="68" t="str">
        <x:v>High</x:v>
      </x:c>
      <x:c r="D21" s="71" t="n">
        <x:v>46433</x:v>
      </x:c>
      <x:c r="E21" s="71" t="n">
        <x:v>46451</x:v>
      </x:c>
      <x:c r="F21" s="74"/>
      <x:c r="G21" s="68" t="str">
        <x:v>Not Started</x:v>
      </x:c>
      <x:c r="H21" s="68" t="str">
        <x:v>Months 5-6 - AI</x:v>
      </x:c>
      <x:c r="I21" s="68" t="str">
        <x:v>New Feature</x:v>
      </x:c>
      <x:c r="J21" s="42" t="str">
        <x:v>Combines verification, recurrence, timeliness, and review outcomes</x:v>
      </x:c>
      <x:c r="K21" s="42" t="str">
        <x:v>Score is explainable, Manager-reviewed, and linked to the supporting data.</x:v>
      </x:c>
      <x:c r="L21" s="42" t="str">
        <x:v>None</x:v>
      </x:c>
      <x:c r="M21" s="42" t="str"/>
    </x:row>
    <x:row r="22" ht="54" customHeight="1">
      <x:c r="A22" s="42" t="str">
        <x:v>Create Action Owner unit, authorization, and workflow tests</x:v>
      </x:c>
      <x:c r="B22" s="68" t="str">
        <x:v>Chandupa</x:v>
      </x:c>
      <x:c r="C22" s="68" t="str">
        <x:v>Critical</x:v>
      </x:c>
      <x:c r="D22" s="71" t="n">
        <x:v>46447</x:v>
      </x:c>
      <x:c r="E22" s="71" t="n">
        <x:v>46461</x:v>
      </x:c>
      <x:c r="F22" s="74"/>
      <x:c r="G22" s="68" t="str">
        <x:v>Not Started</x:v>
      </x:c>
      <x:c r="H22" s="68" t="str">
        <x:v>Month 6 - Validation</x:v>
      </x:c>
      <x:c r="I22" s="68" t="str">
        <x:v>Testing and Documentation</x:v>
      </x:c>
      <x:c r="J22" s="42" t="str">
        <x:v>Covers AI failure and recommendation fallback behavior</x:v>
      </x:c>
      <x:c r="K22" s="42" t="str">
        <x:v>Tests cover ownership, progress, overdue logic, evidence, completion guards, revisions, and AI result access.</x:v>
      </x:c>
      <x:c r="L22" s="42" t="str">
        <x:v>None</x:v>
      </x:c>
      <x:c r="M22" s="42" t="str"/>
    </x:row>
    <x:row r="23" ht="54" customHeight="1">
      <x:c r="A23" s="42" t="str">
        <x:v>Run usability and AI recommendation feedback sessions</x:v>
      </x:c>
      <x:c r="B23" s="68" t="str">
        <x:v>Kasun</x:v>
      </x:c>
      <x:c r="C23" s="68" t="str">
        <x:v>Medium</x:v>
      </x:c>
      <x:c r="D23" s="71" t="n">
        <x:v>46454</x:v>
      </x:c>
      <x:c r="E23" s="71" t="n">
        <x:v>46465</x:v>
      </x:c>
      <x:c r="F23" s="74"/>
      <x:c r="G23" s="68" t="str">
        <x:v>Not Started</x:v>
      </x:c>
      <x:c r="H23" s="68" t="str">
        <x:v>Month 6 - Validation</x:v>
      </x:c>
      <x:c r="I23" s="68" t="str">
        <x:v>Testing and Documentation</x:v>
      </x:c>
      <x:c r="J23" s="42" t="str">
        <x:v>Measures whether recommendations help owners complete effective actions</x:v>
      </x:c>
      <x:c r="K23" s="42" t="str">
        <x:v>Feedback is recorded, prioritized, and used to adjust the final workflow.</x:v>
      </x:c>
      <x:c r="L23" s="42" t="str">
        <x:v>None</x:v>
      </x:c>
      <x:c r="M23" s="42" t="str"/>
    </x:row>
    <x:row r="24" ht="54" customHeight="1">
      <x:c r="A24" s="43" t="str">
        <x:v>Complete Action Owner UAT, training, and role documentation</x:v>
      </x:c>
      <x:c r="B24" s="69" t="str">
        <x:v>Kithsara</x:v>
      </x:c>
      <x:c r="C24" s="69" t="str">
        <x:v>Medium</x:v>
      </x:c>
      <x:c r="D24" s="72" t="n">
        <x:v>46461</x:v>
      </x:c>
      <x:c r="E24" s="72" t="n">
        <x:v>46477</x:v>
      </x:c>
      <x:c r="F24" s="75"/>
      <x:c r="G24" s="69" t="str">
        <x:v>Not Started</x:v>
      </x:c>
      <x:c r="H24" s="69" t="str">
        <x:v>Month 6 - Deployment</x:v>
      </x:c>
      <x:c r="I24" s="69" t="str">
        <x:v>Testing and Documentation</x:v>
      </x:c>
      <x:c r="J24" s="43" t="str">
        <x:v>Explains AI suggestions, due-date risk, and human accountability</x:v>
      </x:c>
      <x:c r="K24" s="43" t="str">
        <x:v>Action Owners approve the workflow and receive operating guidance.</x:v>
      </x:c>
      <x:c r="L24" s="43" t="str">
        <x:v>None</x:v>
      </x:c>
      <x:c r="M24" s="43" t="str"/>
    </x:row>
  </x:sheetData>
  <x:mergeCells>
    <x:mergeCell ref="A2:M2"/>
  </x:mergeCells>
  <x:conditionalFormatting sqref="C5:C200">
    <x:cfRule type="containsText" dxfId="24" priority="1" operator="containsText" text="Critical"/>
    <x:cfRule type="containsText" dxfId="25" priority="2" operator="containsText" text="High"/>
    <x:cfRule type="containsText" dxfId="26" priority="3" operator="containsText" text="Medium"/>
    <x:cfRule type="containsText" dxfId="27" priority="4" operator="containsText" text="Low"/>
  </x:conditionalFormatting>
  <x:conditionalFormatting sqref="G5:G200">
    <x:cfRule type="containsText" dxfId="28" priority="5" operator="containsText" text="Completed"/>
    <x:cfRule type="containsText" dxfId="29" priority="6" operator="containsText" text="In Progress"/>
    <x:cfRule type="containsText" dxfId="30" priority="7" operator="containsText" text="Blocked"/>
    <x:cfRule type="containsText" dxfId="31" priority="8" operator="containsText" text="In Review"/>
  </x:conditionalFormatting>
  <x:dataValidations count="4">
    <x:dataValidation type="list" sqref="B5:B200">
      <x:formula1>"Kasun,Kithsara,Chandupa"</x:formula1>
    </x:dataValidation>
    <x:dataValidation type="list" sqref="C5:C200">
      <x:formula1>"Critical,High,Medium,Low"</x:formula1>
    </x:dataValidation>
    <x:dataValidation type="list" sqref="G5:G200">
      <x:formula1>"Not Started,In Progress,Blocked,In Review,Completed"</x:formula1>
    </x:dataValidation>
    <x:dataValidation type="list" sqref="I5:I200">
      <x:formula1>"Modify Existing,New Feature,Bug Fix,Research and Design,Testing and 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2bf8bbd2dd4e75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25" hidden="0" customWidth="1"/>
    <x:col min="9" max="9" width="24" hidden="0" customWidth="1"/>
    <x:col min="10" max="10" width="46" hidden="0" customWidth="1"/>
    <x:col min="11" max="11" width="58" hidden="0" customWidth="1"/>
    <x:col min="12" max="12" width="34" hidden="0" customWidth="1"/>
    <x:col min="13" max="13" width="28" hidden="0" customWidth="1"/>
  </x:cols>
  <x:sheetData>
    <x:row r="2">
      <x:c r="A2" s="119" t="str">
        <x:v>Staff Delivery Plan</x:v>
      </x:c>
    </x:row>
    <x:row r="3">
      <x:c r="A3" s="52" t="str">
        <x:v>Tasks</x:v>
      </x:c>
      <x:c r="B3" s="53" t="n">
        <x:f>COUNTA(A5:A200)</x:f>
        <x:v>20</x:v>
      </x:c>
      <x:c r="C3" s="53" t="str">
        <x:v>Completed</x:v>
      </x:c>
      <x:c r="D3" s="53" t="n">
        <x:f>COUNTIF(G5:G200,"Completed")</x:f>
        <x:v>0</x:v>
      </x:c>
      <x:c r="E3" s="53" t="str">
        <x:v>Progress</x:v>
      </x:c>
      <x:c r="F3" s="54" t="n">
        <x:f>IF(B3=0,0,D3/B3)</x:f>
        <x:v>0</x:v>
      </x:c>
    </x:row>
    <x:row r="4" ht="34" customHeight="1">
      <x:c r="A4" s="131" t="str">
        <x:v>Task</x:v>
      </x:c>
      <x:c r="B4" s="132" t="str">
        <x:v>Assigned To</x:v>
      </x:c>
      <x:c r="C4" s="132" t="str">
        <x:v>Priority</x:v>
      </x:c>
      <x:c r="D4" s="132" t="str">
        <x:v>Start Date</x:v>
      </x:c>
      <x:c r="E4" s="132" t="str">
        <x:v>End Date</x:v>
      </x:c>
      <x:c r="F4" s="132" t="str">
        <x:v>Time Spent (Hours)</x:v>
      </x:c>
      <x:c r="G4" s="132" t="str">
        <x:v>Status</x:v>
      </x:c>
      <x:c r="H4" s="132" t="str">
        <x:v>Phase</x:v>
      </x:c>
      <x:c r="I4" s="132" t="str">
        <x:v>Change Type</x:v>
      </x:c>
      <x:c r="J4" s="132" t="str">
        <x:v>AI Integration</x:v>
      </x:c>
      <x:c r="K4" s="132" t="str">
        <x:v>Acceptance Criteria</x:v>
      </x:c>
      <x:c r="L4" s="132" t="str">
        <x:v>Dependencies</x:v>
      </x:c>
      <x:c r="M4" s="133" t="str">
        <x:v>Notes</x:v>
      </x:c>
    </x:row>
    <x:row r="5" ht="54" customHeight="1">
      <x:c r="A5" s="41" t="str">
        <x:v>Create an authenticated API that returns only incidents reported by the signed-in Staff user</x:v>
      </x:c>
      <x:c r="B5" s="67" t="str">
        <x:v>Kasun</x:v>
      </x:c>
      <x:c r="C5" s="67" t="str">
        <x:v>Critical</x:v>
      </x:c>
      <x:c r="D5" s="70" t="n">
        <x:v>46296</x:v>
      </x:c>
      <x:c r="E5" s="70" t="n">
        <x:v>46307</x:v>
      </x:c>
      <x:c r="F5" s="73"/>
      <x:c r="G5" s="67" t="str">
        <x:v>Not Started</x:v>
      </x:c>
      <x:c r="H5" s="67" t="str">
        <x:v>Month 1 - Foundation</x:v>
      </x:c>
      <x:c r="I5" s="67" t="str">
        <x:v>New Feature</x:v>
      </x:c>
      <x:c r="J5" s="41" t="str">
        <x:v>Restricts staff AI suggestions and history to owned incidents</x:v>
      </x:c>
      <x:c r="K5" s="41" t="str">
        <x:v>Staff cannot list or open incidents reported by another user.</x:v>
      </x:c>
      <x:c r="L5" s="41" t="str">
        <x:v>None</x:v>
      </x:c>
      <x:c r="M5" s="41" t="str"/>
    </x:row>
    <x:row r="6" ht="54" customHeight="1">
      <x:c r="A6" s="42" t="str">
        <x:v>Replace the static My Incidents page with live data</x:v>
      </x:c>
      <x:c r="B6" s="68" t="str">
        <x:v>Kithsara</x:v>
      </x:c>
      <x:c r="C6" s="68" t="str">
        <x:v>Critical</x:v>
      </x:c>
      <x:c r="D6" s="71" t="n">
        <x:v>46303</x:v>
      </x:c>
      <x:c r="E6" s="71" t="n">
        <x:v>46318</x:v>
      </x:c>
      <x:c r="F6" s="74"/>
      <x:c r="G6" s="68" t="str">
        <x:v>Not Started</x:v>
      </x:c>
      <x:c r="H6" s="68" t="str">
        <x:v>Month 1 - Foundation</x:v>
      </x:c>
      <x:c r="I6" s="68" t="str">
        <x:v>Bug Fix</x:v>
      </x:c>
      <x:c r="J6" s="42" t="str">
        <x:v>Shows AI-assisted status explanations only for owned incidents</x:v>
      </x:c>
      <x:c r="K6" s="42" t="str">
        <x:v>Counts and incident cards load from the own-incidents API and support loading, empty, and error states.</x:v>
      </x:c>
      <x:c r="L6" s="42" t="str">
        <x:v>None</x:v>
      </x:c>
      <x:c r="M6" s="42" t="str"/>
    </x:row>
    <x:row r="7" ht="54" customHeight="1">
      <x:c r="A7" s="42" t="str">
        <x:v>Fix the broken Staff report navigation route</x:v>
      </x:c>
      <x:c r="B7" s="68" t="str">
        <x:v>Chandupa</x:v>
      </x:c>
      <x:c r="C7" s="68" t="str">
        <x:v>Critical</x:v>
      </x:c>
      <x:c r="D7" s="71" t="n">
        <x:v>46296</x:v>
      </x:c>
      <x:c r="E7" s="71" t="n">
        <x:v>46302</x:v>
      </x:c>
      <x:c r="F7" s="74"/>
      <x:c r="G7" s="68" t="str">
        <x:v>Not Started</x:v>
      </x:c>
      <x:c r="H7" s="68" t="str">
        <x:v>Month 1 - Foundation</x:v>
      </x:c>
      <x:c r="I7" s="68" t="str">
        <x:v>Bug Fix</x:v>
      </x:c>
      <x:c r="J7" s="42" t="str">
        <x:v>Restores access to the future AI-assisted report form</x:v>
      </x:c>
      <x:c r="K7" s="42" t="str">
        <x:v>The Staff navigation opens the configured incident submission route.</x:v>
      </x:c>
      <x:c r="L7" s="42" t="str">
        <x:v>None</x:v>
      </x:c>
      <x:c r="M7" s="42" t="str"/>
    </x:row>
    <x:row r="8" ht="54" customHeight="1">
      <x:c r="A8" s="42" t="str">
        <x:v>Add formatted Incident ID, incident occurrence date and time, and reported date</x:v>
      </x:c>
      <x:c r="B8" s="68" t="str">
        <x:v>Kasun</x:v>
      </x:c>
      <x:c r="C8" s="68" t="str">
        <x:v>High</x:v>
      </x:c>
      <x:c r="D8" s="71" t="n">
        <x:v>46314</x:v>
      </x:c>
      <x:c r="E8" s="71" t="n">
        <x:v>46332</x:v>
      </x:c>
      <x:c r="F8" s="74"/>
      <x:c r="G8" s="68" t="str">
        <x:v>Not Started</x:v>
      </x:c>
      <x:c r="H8" s="68" t="str">
        <x:v>Months 1-2 - Incident Details</x:v>
      </x:c>
      <x:c r="I8" s="68" t="str">
        <x:v>Modify Existing</x:v>
      </x:c>
      <x:c r="J8" s="42" t="str">
        <x:v>Improves time-series and resolution-time analytics</x:v>
      </x:c>
      <x:c r="K8" s="42" t="str">
        <x:v>New incidents receive a unique human-readable ID and valid occurrence and report timestamps.</x:v>
      </x:c>
      <x:c r="L8" s="42" t="str">
        <x:v>None</x:v>
      </x:c>
      <x:c r="M8" s="42" t="str"/>
    </x:row>
    <x:row r="9" ht="54" customHeight="1">
      <x:c r="A9" s="42" t="str">
        <x:v>Add dependent category and sub-category fields</x:v>
      </x:c>
      <x:c r="B9" s="68" t="str">
        <x:v>Kithsara</x:v>
      </x:c>
      <x:c r="C9" s="68" t="str">
        <x:v>High</x:v>
      </x:c>
      <x:c r="D9" s="71" t="n">
        <x:v>46328</x:v>
      </x:c>
      <x:c r="E9" s="71" t="n">
        <x:v>46339</x:v>
      </x:c>
      <x:c r="F9" s="74"/>
      <x:c r="G9" s="68" t="str">
        <x:v>Not Started</x:v>
      </x:c>
      <x:c r="H9" s="68" t="str">
        <x:v>Month 2 - Incident Details</x:v>
      </x:c>
      <x:c r="I9" s="68" t="str">
        <x:v>New Feature</x:v>
      </x:c>
      <x:c r="J9" s="42" t="str">
        <x:v>Supports AI classification and consistent analytics</x:v>
      </x:c>
      <x:c r="K9" s="42" t="str">
        <x:v>Sub-category choices depend on the selected approved category and both values are stored.</x:v>
      </x:c>
      <x:c r="L9" s="42" t="str">
        <x:v>None</x:v>
      </x:c>
      <x:c r="M9" s="42" t="str"/>
    </x:row>
    <x:row r="10" ht="54" customHeight="1">
      <x:c r="A10" s="42" t="str">
        <x:v>Validate department selection and incident routing</x:v>
      </x:c>
      <x:c r="B10" s="68" t="str">
        <x:v>Chandupa</x:v>
      </x:c>
      <x:c r="C10" s="68" t="str">
        <x:v>High</x:v>
      </x:c>
      <x:c r="D10" s="71" t="n">
        <x:v>46335</x:v>
      </x:c>
      <x:c r="E10" s="71" t="n">
        <x:v>46346</x:v>
      </x:c>
      <x:c r="F10" s="74"/>
      <x:c r="G10" s="68" t="str">
        <x:v>Not Started</x:v>
      </x:c>
      <x:c r="H10" s="68" t="str">
        <x:v>Month 2 - Incident Details</x:v>
      </x:c>
      <x:c r="I10" s="68" t="str">
        <x:v>Modify Existing</x:v>
      </x:c>
      <x:c r="J10" s="42" t="str">
        <x:v>Routes the report to the correct department AI and Manager queues</x:v>
      </x:c>
      <x:c r="K10" s="42" t="str">
        <x:v>Only active departments can be selected and the receiving Manager queue is correct.</x:v>
      </x:c>
      <x:c r="L10" s="42" t="str">
        <x:v>None</x:v>
      </x:c>
      <x:c r="M10" s="42" t="str"/>
    </x:row>
    <x:row r="11" ht="54" customHeight="1">
      <x:c r="A11" s="42" t="str">
        <x:v>Add save-draft, submit, and submission confirmation workflow</x:v>
      </x:c>
      <x:c r="B11" s="68" t="str">
        <x:v>Kasun</x:v>
      </x:c>
      <x:c r="C11" s="68" t="str">
        <x:v>Medium</x:v>
      </x:c>
      <x:c r="D11" s="71" t="n">
        <x:v>46342</x:v>
      </x:c>
      <x:c r="E11" s="71" t="n">
        <x:v>46353</x:v>
      </x:c>
      <x:c r="F11" s="74"/>
      <x:c r="G11" s="68" t="str">
        <x:v>Not Started</x:v>
      </x:c>
      <x:c r="H11" s="68" t="str">
        <x:v>Month 2 - Incident Details</x:v>
      </x:c>
      <x:c r="I11" s="68" t="str">
        <x:v>New Feature</x:v>
      </x:c>
      <x:c r="J11" s="42" t="str">
        <x:v>Allows AI completeness guidance before final submission</x:v>
      </x:c>
      <x:c r="K11" s="42" t="str">
        <x:v>Staff can save a private draft, submit it once required fields are complete, and receive a reference ID.</x:v>
      </x:c>
      <x:c r="L11" s="42" t="str">
        <x:v>None</x:v>
      </x:c>
      <x:c r="M11" s="42" t="str"/>
    </x:row>
    <x:row r="12" ht="54" customHeight="1">
      <x:c r="A12" s="42" t="str">
        <x:v>Improve evidence upload, preview, removal, and authorized viewing</x:v>
      </x:c>
      <x:c r="B12" s="68" t="str">
        <x:v>Kithsara</x:v>
      </x:c>
      <x:c r="C12" s="68" t="str">
        <x:v>High</x:v>
      </x:c>
      <x:c r="D12" s="71" t="n">
        <x:v>46349</x:v>
      </x:c>
      <x:c r="E12" s="71" t="n">
        <x:v>46367</x:v>
      </x:c>
      <x:c r="F12" s="74"/>
      <x:c r="G12" s="68" t="str">
        <x:v>Not Started</x:v>
      </x:c>
      <x:c r="H12" s="68" t="str">
        <x:v>Months 2-3 - Evidence</x:v>
      </x:c>
      <x:c r="I12" s="68" t="str">
        <x:v>Modify Existing</x:v>
      </x:c>
      <x:c r="J12" s="42" t="str">
        <x:v>Provides safe source material for optional AI summarization</x:v>
      </x:c>
      <x:c r="K12" s="42" t="str">
        <x:v>Allowed files can be previewed or removed before submission and viewed after authorization.</x:v>
      </x:c>
      <x:c r="L12" s="42" t="str">
        <x:v>None</x:v>
      </x:c>
      <x:c r="M12" s="42" t="str"/>
    </x:row>
    <x:row r="13" ht="54" customHeight="1">
      <x:c r="A13" s="42" t="str">
        <x:v>Show rejection comments and revision requests</x:v>
      </x:c>
      <x:c r="B13" s="68" t="str">
        <x:v>Chandupa</x:v>
      </x:c>
      <x:c r="C13" s="68" t="str">
        <x:v>High</x:v>
      </x:c>
      <x:c r="D13" s="71" t="n">
        <x:v>46357</x:v>
      </x:c>
      <x:c r="E13" s="71" t="n">
        <x:v>46367</x:v>
      </x:c>
      <x:c r="F13" s="74"/>
      <x:c r="G13" s="68" t="str">
        <x:v>Not Started</x:v>
      </x:c>
      <x:c r="H13" s="68" t="str">
        <x:v>Month 3 - Revision Workflow</x:v>
      </x:c>
      <x:c r="I13" s="68" t="str">
        <x:v>New Feature</x:v>
      </x:c>
      <x:c r="J13" s="42" t="str">
        <x:v>Explains missing information identified by Manager or AI completeness checks</x:v>
      </x:c>
      <x:c r="K13" s="42" t="str">
        <x:v>Staff sees decision type, comments, date, and required revisions on the owned incident.</x:v>
      </x:c>
      <x:c r="L13" s="42" t="str">
        <x:v>None</x:v>
      </x:c>
      <x:c r="M13" s="42" t="str"/>
    </x:row>
    <x:row r="14" ht="54" customHeight="1">
      <x:c r="A14" s="42" t="str">
        <x:v>Allow controlled editing and resubmission after a revision request</x:v>
      </x:c>
      <x:c r="B14" s="68" t="str">
        <x:v>Kasun</x:v>
      </x:c>
      <x:c r="C14" s="68" t="str">
        <x:v>Critical</x:v>
      </x:c>
      <x:c r="D14" s="71" t="n">
        <x:v>46363</x:v>
      </x:c>
      <x:c r="E14" s="71" t="n">
        <x:v>46374</x:v>
      </x:c>
      <x:c r="F14" s="74"/>
      <x:c r="G14" s="68" t="str">
        <x:v>Not Started</x:v>
      </x:c>
      <x:c r="H14" s="68" t="str">
        <x:v>Month 3 - Revision Workflow</x:v>
      </x:c>
      <x:c r="I14" s="68" t="str">
        <x:v>New Feature</x:v>
      </x:c>
      <x:c r="J14" s="42" t="str">
        <x:v>Captures improved structured data without losing the original report</x:v>
      </x:c>
      <x:c r="K14" s="42" t="str">
        <x:v>Only revision-requested fields are editable and resubmission preserves version history.</x:v>
      </x:c>
      <x:c r="L14" s="42" t="str">
        <x:v>None</x:v>
      </x:c>
      <x:c r="M14" s="42" t="str"/>
    </x:row>
    <x:row r="15" ht="54" customHeight="1">
      <x:c r="A15" s="42" t="str">
        <x:v>Add incident status timeline and in-app notifications</x:v>
      </x:c>
      <x:c r="B15" s="68" t="str">
        <x:v>Kithsara</x:v>
      </x:c>
      <x:c r="C15" s="68" t="str">
        <x:v>Medium</x:v>
      </x:c>
      <x:c r="D15" s="71" t="n">
        <x:v>46370</x:v>
      </x:c>
      <x:c r="E15" s="71" t="n">
        <x:v>46380</x:v>
      </x:c>
      <x:c r="F15" s="74"/>
      <x:c r="G15" s="68" t="str">
        <x:v>Not Started</x:v>
      </x:c>
      <x:c r="H15" s="68" t="str">
        <x:v>Month 3 - Revision Workflow</x:v>
      </x:c>
      <x:c r="I15" s="68" t="str">
        <x:v>New Feature</x:v>
      </x:c>
      <x:c r="J15" s="42" t="str">
        <x:v>Explains major workflow and AI-assisted triage events</x:v>
      </x:c>
      <x:c r="K15" s="42" t="str">
        <x:v>Staff sees submitted, decision, investigation, action, review, and closure milestones without restricted details.</x:v>
      </x:c>
      <x:c r="L15" s="42" t="str">
        <x:v>None</x:v>
      </x:c>
      <x:c r="M15" s="42" t="str"/>
    </x:row>
    <x:row r="16" ht="54" customHeight="1">
      <x:c r="A16" s="42" t="str">
        <x:v>Add search and filters to My Incidents</x:v>
      </x:c>
      <x:c r="B16" s="68" t="str">
        <x:v>Chandupa</x:v>
      </x:c>
      <x:c r="C16" s="68" t="str">
        <x:v>Medium</x:v>
      </x:c>
      <x:c r="D16" s="71" t="n">
        <x:v>46391</x:v>
      </x:c>
      <x:c r="E16" s="71" t="n">
        <x:v>46402</x:v>
      </x:c>
      <x:c r="F16" s="74"/>
      <x:c r="G16" s="68" t="str">
        <x:v>Not Started</x:v>
      </x:c>
      <x:c r="H16" s="68" t="str">
        <x:v>Month 4 - Analytics</x:v>
      </x:c>
      <x:c r="I16" s="68" t="str">
        <x:v>New Feature</x:v>
      </x:c>
      <x:c r="J16" s="42" t="str">
        <x:v>Helps users find previous reports and AI suggestions</x:v>
      </x:c>
      <x:c r="K16" s="42" t="str">
        <x:v>Staff can search owned incidents and filter by status, severity, category, and date.</x:v>
      </x:c>
      <x:c r="L16" s="42" t="str">
        <x:v>None</x:v>
      </x:c>
      <x:c r="M16" s="42" t="str"/>
    </x:row>
    <x:row r="17" ht="54" customHeight="1">
      <x:c r="A17" s="42" t="str">
        <x:v>Add AI-assisted category and sub-category suggestions</x:v>
      </x:c>
      <x:c r="B17" s="68" t="str">
        <x:v>Kasun</x:v>
      </x:c>
      <x:c r="C17" s="68" t="str">
        <x:v>High</x:v>
      </x:c>
      <x:c r="D17" s="71" t="n">
        <x:v>46405</x:v>
      </x:c>
      <x:c r="E17" s="71" t="n">
        <x:v>46423</x:v>
      </x:c>
      <x:c r="F17" s="74"/>
      <x:c r="G17" s="68" t="str">
        <x:v>Not Started</x:v>
      </x:c>
      <x:c r="H17" s="68" t="str">
        <x:v>Months 4-5 - AI</x:v>
      </x:c>
      <x:c r="I17" s="68" t="str">
        <x:v>New Feature</x:v>
      </x:c>
      <x:c r="J17" s="42" t="str">
        <x:v>Uses report text to recommend classifications</x:v>
      </x:c>
      <x:c r="K17" s="42" t="str">
        <x:v>Suggestions include a reason and require Staff confirmation or correction before submission.</x:v>
      </x:c>
      <x:c r="L17" s="42" t="str">
        <x:v>Approved category taxonomy and training data</x:v>
      </x:c>
      <x:c r="M17" s="42" t="str"/>
    </x:row>
    <x:row r="18" ht="54" customHeight="1">
      <x:c r="A18" s="42" t="str">
        <x:v>Add AI-assisted initial severity suggestion with human confirmation</x:v>
      </x:c>
      <x:c r="B18" s="68" t="str">
        <x:v>Kithsara</x:v>
      </x:c>
      <x:c r="C18" s="68" t="str">
        <x:v>High</x:v>
      </x:c>
      <x:c r="D18" s="71" t="n">
        <x:v>46412</x:v>
      </x:c>
      <x:c r="E18" s="71" t="n">
        <x:v>46430</x:v>
      </x:c>
      <x:c r="F18" s="74"/>
      <x:c r="G18" s="68" t="str">
        <x:v>Not Started</x:v>
      </x:c>
      <x:c r="H18" s="68" t="str">
        <x:v>Months 4-5 - AI</x:v>
      </x:c>
      <x:c r="I18" s="68" t="str">
        <x:v>New Feature</x:v>
      </x:c>
      <x:c r="J18" s="42" t="str">
        <x:v>Predicts a starting severity from historical records</x:v>
      </x:c>
      <x:c r="K18" s="42" t="str">
        <x:v>Suggested severity is clearly labeled, explainable, editable, and never automatically final.</x:v>
      </x:c>
      <x:c r="L18" s="42" t="str">
        <x:v>None</x:v>
      </x:c>
      <x:c r="M18" s="42" t="str"/>
    </x:row>
    <x:row r="19" ht="54" customHeight="1">
      <x:c r="A19" s="42" t="str">
        <x:v>Show possible duplicate or similar incidents before submission</x:v>
      </x:c>
      <x:c r="B19" s="68" t="str">
        <x:v>Chandupa</x:v>
      </x:c>
      <x:c r="C19" s="68" t="str">
        <x:v>Medium</x:v>
      </x:c>
      <x:c r="D19" s="71" t="n">
        <x:v>46419</x:v>
      </x:c>
      <x:c r="E19" s="71" t="n">
        <x:v>46434</x:v>
      </x:c>
      <x:c r="F19" s="74"/>
      <x:c r="G19" s="68" t="str">
        <x:v>Not Started</x:v>
      </x:c>
      <x:c r="H19" s="68" t="str">
        <x:v>Month 5 - AI</x:v>
      </x:c>
      <x:c r="I19" s="68" t="str">
        <x:v>New Feature</x:v>
      </x:c>
      <x:c r="J19" s="42" t="str">
        <x:v>Uses text similarity to reduce duplicate reports while preserving valid reporting</x:v>
      </x:c>
      <x:c r="K19" s="42" t="str">
        <x:v>Staff sees a limited, privacy-safe similarity notice and can continue submission with a reason.</x:v>
      </x:c>
      <x:c r="L19" s="42" t="str">
        <x:v>None</x:v>
      </x:c>
      <x:c r="M19" s="42" t="str"/>
    </x:row>
    <x:row r="20" ht="54" customHeight="1">
      <x:c r="A20" s="42" t="str">
        <x:v>Add an AI completeness assistant for missing or unclear report details</x:v>
      </x:c>
      <x:c r="B20" s="68" t="str">
        <x:v>Kasun</x:v>
      </x:c>
      <x:c r="C20" s="68" t="str">
        <x:v>High</x:v>
      </x:c>
      <x:c r="D20" s="71" t="n">
        <x:v>46426</x:v>
      </x:c>
      <x:c r="E20" s="71" t="n">
        <x:v>46441</x:v>
      </x:c>
      <x:c r="F20" s="74"/>
      <x:c r="G20" s="68" t="str">
        <x:v>Not Started</x:v>
      </x:c>
      <x:c r="H20" s="68" t="str">
        <x:v>Month 5 - AI</x:v>
      </x:c>
      <x:c r="I20" s="68" t="str">
        <x:v>New Feature</x:v>
      </x:c>
      <x:c r="J20" s="42" t="str">
        <x:v>Checks required context before submission</x:v>
      </x:c>
      <x:c r="K20" s="42" t="str">
        <x:v>Assistant identifies missing date, location, chronology, category, or evidence context without inventing facts.</x:v>
      </x:c>
      <x:c r="L20" s="42" t="str">
        <x:v>None</x:v>
      </x:c>
      <x:c r="M20" s="42" t="str"/>
    </x:row>
    <x:row r="21" ht="54" customHeight="1">
      <x:c r="A21" s="42" t="str">
        <x:v>Add editable AI-generated incident summary</x:v>
      </x:c>
      <x:c r="B21" s="68" t="str">
        <x:v>Kithsara</x:v>
      </x:c>
      <x:c r="C21" s="68" t="str">
        <x:v>Medium</x:v>
      </x:c>
      <x:c r="D21" s="71" t="n">
        <x:v>46433</x:v>
      </x:c>
      <x:c r="E21" s="71" t="n">
        <x:v>46451</x:v>
      </x:c>
      <x:c r="F21" s="74"/>
      <x:c r="G21" s="68" t="str">
        <x:v>Not Started</x:v>
      </x:c>
      <x:c r="H21" s="68" t="str">
        <x:v>Months 5-6 - AI</x:v>
      </x:c>
      <x:c r="I21" s="68" t="str">
        <x:v>New Feature</x:v>
      </x:c>
      <x:c r="J21" s="42" t="str">
        <x:v>Creates a concise title and summary from Staff-entered text</x:v>
      </x:c>
      <x:c r="K21" s="42" t="str">
        <x:v>Generated text is labeled, editable, and stored only after explicit Staff confirmation.</x:v>
      </x:c>
      <x:c r="L21" s="42" t="str">
        <x:v>None</x:v>
      </x:c>
      <x:c r="M21" s="42" t="str"/>
    </x:row>
    <x:row r="22" ht="54" customHeight="1">
      <x:c r="A22" s="42" t="str">
        <x:v>Complete responsive design, accessibility, and keyboard navigation</x:v>
      </x:c>
      <x:c r="B22" s="68" t="str">
        <x:v>Chandupa</x:v>
      </x:c>
      <x:c r="C22" s="68" t="str">
        <x:v>High</x:v>
      </x:c>
      <x:c r="D22" s="71" t="n">
        <x:v>46440</x:v>
      </x:c>
      <x:c r="E22" s="71" t="n">
        <x:v>46458</x:v>
      </x:c>
      <x:c r="F22" s="74"/>
      <x:c r="G22" s="68" t="str">
        <x:v>Not Started</x:v>
      </x:c>
      <x:c r="H22" s="68" t="str">
        <x:v>Months 5-6 - Quality</x:v>
      </x:c>
      <x:c r="I22" s="68" t="str">
        <x:v>Modify Existing</x:v>
      </x:c>
      <x:c r="J22" s="42" t="str">
        <x:v>Ensures AI suggestions and explanations are accessible</x:v>
      </x:c>
      <x:c r="K22" s="42" t="str">
        <x:v>Staff workflows pass agreed responsive, contrast, label, focus, and keyboard checks.</x:v>
      </x:c>
      <x:c r="L22" s="42" t="str">
        <x:v>None</x:v>
      </x:c>
      <x:c r="M22" s="42" t="str"/>
    </x:row>
    <x:row r="23" ht="54" customHeight="1">
      <x:c r="A23" s="42" t="str">
        <x:v>Create Staff authorization, form, revision, and AI-assistance tests</x:v>
      </x:c>
      <x:c r="B23" s="68" t="str">
        <x:v>Kasun</x:v>
      </x:c>
      <x:c r="C23" s="68" t="str">
        <x:v>Critical</x:v>
      </x:c>
      <x:c r="D23" s="71" t="n">
        <x:v>46447</x:v>
      </x:c>
      <x:c r="E23" s="71" t="n">
        <x:v>46465</x:v>
      </x:c>
      <x:c r="F23" s="74"/>
      <x:c r="G23" s="68" t="str">
        <x:v>Not Started</x:v>
      </x:c>
      <x:c r="H23" s="68" t="str">
        <x:v>Month 6 - Validation</x:v>
      </x:c>
      <x:c r="I23" s="68" t="str">
        <x:v>Testing and Documentation</x:v>
      </x:c>
      <x:c r="J23" s="42" t="str">
        <x:v>Tests safe fallback when AI services are unavailable</x:v>
      </x:c>
      <x:c r="K23" s="42" t="str">
        <x:v>Tests prove own-only access, validation, attachments, revisions, suggestions, overrides, and core submission without AI.</x:v>
      </x:c>
      <x:c r="L23" s="42" t="str">
        <x:v>None</x:v>
      </x:c>
      <x:c r="M23" s="42" t="str"/>
    </x:row>
    <x:row r="24" ht="54" customHeight="1">
      <x:c r="A24" s="43" t="str">
        <x:v>Complete Staff UAT, training, and user guidance</x:v>
      </x:c>
      <x:c r="B24" s="69" t="str">
        <x:v>Kithsara</x:v>
      </x:c>
      <x:c r="C24" s="69" t="str">
        <x:v>Medium</x:v>
      </x:c>
      <x:c r="D24" s="72" t="n">
        <x:v>46461</x:v>
      </x:c>
      <x:c r="E24" s="72" t="n">
        <x:v>46477</x:v>
      </x:c>
      <x:c r="F24" s="75"/>
      <x:c r="G24" s="69" t="str">
        <x:v>Not Started</x:v>
      </x:c>
      <x:c r="H24" s="69" t="str">
        <x:v>Month 6 - Deployment</x:v>
      </x:c>
      <x:c r="I24" s="69" t="str">
        <x:v>Testing and Documentation</x:v>
      </x:c>
      <x:c r="J24" s="43" t="str">
        <x:v>Explains that AI suggestions support but do not replace user judgment</x:v>
      </x:c>
      <x:c r="K24" s="43" t="str">
        <x:v>Staff participants approve the reporting and tracking workflow and receive concise guidance.</x:v>
      </x:c>
      <x:c r="L24" s="43" t="str">
        <x:v>None</x:v>
      </x:c>
      <x:c r="M24" s="43" t="str"/>
    </x:row>
  </x:sheetData>
  <x:mergeCells>
    <x:mergeCell ref="A2:M2"/>
  </x:mergeCells>
  <x:conditionalFormatting sqref="C5:C200">
    <x:cfRule type="containsText" dxfId="32" priority="1" operator="containsText" text="Critical"/>
    <x:cfRule type="containsText" dxfId="33" priority="2" operator="containsText" text="High"/>
    <x:cfRule type="containsText" dxfId="34" priority="3" operator="containsText" text="Medium"/>
    <x:cfRule type="containsText" dxfId="35" priority="4" operator="containsText" text="Low"/>
  </x:conditionalFormatting>
  <x:conditionalFormatting sqref="G5:G200">
    <x:cfRule type="containsText" dxfId="36" priority="5" operator="containsText" text="Completed"/>
    <x:cfRule type="containsText" dxfId="37" priority="6" operator="containsText" text="In Progress"/>
    <x:cfRule type="containsText" dxfId="38" priority="7" operator="containsText" text="Blocked"/>
    <x:cfRule type="containsText" dxfId="39" priority="8" operator="containsText" text="In Review"/>
  </x:conditionalFormatting>
  <x:dataValidations count="4">
    <x:dataValidation type="list" sqref="B5:B200">
      <x:formula1>"Kasun,Kithsara,Chandupa"</x:formula1>
    </x:dataValidation>
    <x:dataValidation type="list" sqref="C5:C200">
      <x:formula1>"Critical,High,Medium,Low"</x:formula1>
    </x:dataValidation>
    <x:dataValidation type="list" sqref="G5:G200">
      <x:formula1>"Not Started,In Progress,Blocked,In Review,Completed"</x:formula1>
    </x:dataValidation>
    <x:dataValidation type="list" sqref="I5:I200">
      <x:formula1>"Modify Existing,New Feature,Bug Fix,Research and Design,Testing and 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40fac0a004692"/>
  </x:tableParts>
</x:worksheet>
</file>